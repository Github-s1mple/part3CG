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<sst xmlns="http://schemas.openxmlformats.org/spreadsheetml/2006/main" count="36" uniqueCount="36">
  <si>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Gridid</t>
  </si>
  <si>
    <t>HBlon</t>
  </si>
  <si>
    <t>HBlat</t>
  </si>
  <si>
    <t>totalDemand</t>
  </si>
  <si>
    <t>pop</t>
  </si>
  <si>
    <t>calDemand</t>
  </si>
  <si>
    <t>totalDemandcal</t>
  </si>
  <si>
    <t>[66, 29, -37]</t>
  </si>
  <si>
    <t>[68, 30, -38]</t>
  </si>
  <si>
    <t>[70, 31, -39]</t>
  </si>
  <si>
    <t>[7, -2, -9]</t>
  </si>
  <si>
    <t>[9, -1, -10]</t>
  </si>
  <si>
    <t>[11, 0, -11]</t>
  </si>
  <si>
    <t>[15, 2, -13]</t>
  </si>
  <si>
    <t>[17, 3, -14]</t>
  </si>
  <si>
    <t>[19, 4, -15]</t>
  </si>
  <si>
    <t>[21, 5, -16]</t>
  </si>
  <si>
    <t>[23, 6, -17]</t>
  </si>
  <si>
    <t>[25, 7, -18]</t>
  </si>
  <si>
    <t>[27, 8, -19]</t>
  </si>
  <si>
    <t>[29, 9, -20]</t>
  </si>
  <si>
    <t>[31, 10, -21]</t>
  </si>
  <si>
    <t>[33, 11, -22]</t>
  </si>
  <si>
    <t>[35, 12, -23]</t>
  </si>
  <si>
    <t>[37, 13, -24]</t>
  </si>
  <si>
    <t>[39, 14, -25]</t>
  </si>
  <si>
    <t>[41, 15, -26]</t>
  </si>
  <si>
    <t>[43, 16, -27]</t>
  </si>
  <si>
    <t>[47, 18, -29]</t>
  </si>
  <si>
    <t>[49, 19, -30]</t>
  </si>
  <si>
    <t>[51, 20, -31]</t>
  </si>
  <si>
    <t>[53, 21, -32]</t>
  </si>
  <si>
    <t>[55, 22, -33]</t>
  </si>
  <si>
    <t>[57, 23, -34]</t>
  </si>
  <si>
    <t>[59, 24, -35]</t>
  </si>
  <si>
    <t>[61, 25, -36]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</si>
</sst>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workbookViewId="0">
      <selection activeCell="A1" sqref="A1:G30"/>
    </sheetView>
  </sheetViews>
  <sheetFormatPr defaultColWidth="8.72727272727273" defaultRowHeight="1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121.194746</v>
      </c>
      <c r="C2" s="1">
        <v>31.29026052</v>
      </c>
      <c r="D2" s="1">
        <v>1.94322451840339</v>
      </c>
      <c r="E2" s="1">
        <v>0.00133167948399901</v>
      </c>
      <c r="F2" s="1">
        <f t="shared" ref="F2:F30" si="0">E2*34750*3500/116409</f>
        <v>1.39134875517683</v>
      </c>
      <c r="G2" s="1">
        <f t="shared" ref="G2:G30" si="1">F2/2506*3500</f>
        <v>1.94322451840339</v>
      </c>
    </row>
    <row r="3" spans="1:7">
      <c r="A3" s="1" t="s">
        <v>8</v>
      </c>
      <c r="B3" s="1">
        <v>121.2052685</v>
      </c>
      <c r="C3" s="1">
        <v>31.29026052</v>
      </c>
      <c r="D3" s="1">
        <v>1.94322451840339</v>
      </c>
      <c r="E3" s="1">
        <v>0.00133167948399901</v>
      </c>
      <c r="F3" s="1">
        <f t="shared" si="0"/>
        <v>1.39134875517683</v>
      </c>
      <c r="G3" s="1">
        <f t="shared" si="1"/>
        <v>1.94322451840339</v>
      </c>
    </row>
    <row r="4" spans="1:7">
      <c r="A4" s="1" t="s">
        <v>9</v>
      </c>
      <c r="B4" s="1">
        <v>121.1936937</v>
      </c>
      <c r="C4" s="1">
        <v>31.29181819</v>
      </c>
      <c r="D4" s="1">
        <v>1.94322451840339</v>
      </c>
      <c r="E4" s="1">
        <v>0.00133167948399901</v>
      </c>
      <c r="F4" s="1">
        <f t="shared" si="0"/>
        <v>1.39134875517683</v>
      </c>
      <c r="G4" s="1">
        <f t="shared" si="1"/>
        <v>1.94322451840339</v>
      </c>
    </row>
    <row r="5" spans="1:7">
      <c r="A5" s="1" t="s">
        <v>10</v>
      </c>
      <c r="B5" s="1">
        <v>121.1957982</v>
      </c>
      <c r="C5" s="1">
        <v>31.29181819</v>
      </c>
      <c r="D5" s="1">
        <v>1.94322451840339</v>
      </c>
      <c r="E5" s="1">
        <v>0.00133167948399901</v>
      </c>
      <c r="F5" s="1">
        <f t="shared" si="0"/>
        <v>1.39134875517683</v>
      </c>
      <c r="G5" s="1">
        <f t="shared" si="1"/>
        <v>1.94322451840339</v>
      </c>
    </row>
    <row r="6" spans="1:7">
      <c r="A6" s="1" t="s">
        <v>11</v>
      </c>
      <c r="B6" s="1">
        <v>121.1979027</v>
      </c>
      <c r="C6" s="1">
        <v>31.29181819</v>
      </c>
      <c r="D6" s="1">
        <v>1.94322451840339</v>
      </c>
      <c r="E6" s="1">
        <v>0.00133167948399901</v>
      </c>
      <c r="F6" s="1">
        <f t="shared" si="0"/>
        <v>1.39134875517683</v>
      </c>
      <c r="G6" s="1">
        <f t="shared" si="1"/>
        <v>1.94322451840339</v>
      </c>
    </row>
    <row r="7" spans="1:7">
      <c r="A7" s="1" t="s">
        <v>12</v>
      </c>
      <c r="B7" s="1">
        <v>121.2063207</v>
      </c>
      <c r="C7" s="1">
        <v>31.29181819</v>
      </c>
      <c r="D7" s="1">
        <v>1.94322451840339</v>
      </c>
      <c r="E7" s="1">
        <v>0.00133167948399901</v>
      </c>
      <c r="F7" s="1">
        <f t="shared" si="0"/>
        <v>1.39134875517683</v>
      </c>
      <c r="G7" s="1">
        <f t="shared" si="1"/>
        <v>1.94322451840339</v>
      </c>
    </row>
    <row r="8" spans="1:7">
      <c r="A8" s="1" t="s">
        <v>13</v>
      </c>
      <c r="B8" s="1">
        <v>121.198955</v>
      </c>
      <c r="C8" s="1">
        <v>31.29337586</v>
      </c>
      <c r="D8" s="1">
        <v>1.94322451840339</v>
      </c>
      <c r="E8" s="1">
        <v>0.00133167948399901</v>
      </c>
      <c r="F8" s="1">
        <f t="shared" si="0"/>
        <v>1.39134875517683</v>
      </c>
      <c r="G8" s="1">
        <f t="shared" si="1"/>
        <v>1.94322451840339</v>
      </c>
    </row>
    <row r="9" spans="1:7">
      <c r="A9" s="1" t="s">
        <v>14</v>
      </c>
      <c r="B9" s="1">
        <v>121.2010595</v>
      </c>
      <c r="C9" s="1">
        <v>31.29337586</v>
      </c>
      <c r="D9" s="1">
        <v>1.94322451840339</v>
      </c>
      <c r="E9" s="1">
        <v>0.00133167948399901</v>
      </c>
      <c r="F9" s="1">
        <f t="shared" si="0"/>
        <v>1.39134875517683</v>
      </c>
      <c r="G9" s="1">
        <f t="shared" si="1"/>
        <v>1.94322451840339</v>
      </c>
    </row>
    <row r="10" spans="1:7">
      <c r="A10" s="1" t="s">
        <v>15</v>
      </c>
      <c r="B10" s="1">
        <v>121.1979027</v>
      </c>
      <c r="C10" s="1">
        <v>31.29493353</v>
      </c>
      <c r="D10" s="1">
        <v>2.33156603027792</v>
      </c>
      <c r="E10" s="1">
        <v>0.00159780746831107</v>
      </c>
      <c r="F10" s="1">
        <f t="shared" si="0"/>
        <v>1.66940127767899</v>
      </c>
      <c r="G10" s="1">
        <f t="shared" si="1"/>
        <v>2.33156603027792</v>
      </c>
    </row>
    <row r="11" spans="1:7">
      <c r="A11" s="1" t="s">
        <v>16</v>
      </c>
      <c r="B11" s="1">
        <v>121.2000072</v>
      </c>
      <c r="C11" s="1">
        <v>31.29493353</v>
      </c>
      <c r="D11" s="1">
        <v>2.33156603027792</v>
      </c>
      <c r="E11" s="1">
        <v>0.00159780746831107</v>
      </c>
      <c r="F11" s="1">
        <f t="shared" si="0"/>
        <v>1.66940127767899</v>
      </c>
      <c r="G11" s="1">
        <f t="shared" si="1"/>
        <v>2.33156603027792</v>
      </c>
    </row>
    <row r="12" spans="1:7">
      <c r="A12" s="1" t="s">
        <v>17</v>
      </c>
      <c r="B12" s="1">
        <v>121.2021117</v>
      </c>
      <c r="C12" s="1">
        <v>31.29493353</v>
      </c>
      <c r="D12" s="1">
        <v>1.94322451840339</v>
      </c>
      <c r="E12" s="1">
        <v>0.00133167948399901</v>
      </c>
      <c r="F12" s="1">
        <f t="shared" si="0"/>
        <v>1.39134875517683</v>
      </c>
      <c r="G12" s="1">
        <f t="shared" si="1"/>
        <v>1.94322451840339</v>
      </c>
    </row>
    <row r="13" spans="1:7">
      <c r="A13" s="1" t="s">
        <v>18</v>
      </c>
      <c r="B13" s="1">
        <v>121.2084252</v>
      </c>
      <c r="C13" s="1">
        <v>31.29493353</v>
      </c>
      <c r="D13" s="1">
        <v>3.38153726789807</v>
      </c>
      <c r="E13" s="1">
        <v>0.00231734612310152</v>
      </c>
      <c r="F13" s="1">
        <f t="shared" si="0"/>
        <v>2.42118068381502</v>
      </c>
      <c r="G13" s="1">
        <f t="shared" si="1"/>
        <v>3.38153726789807</v>
      </c>
    </row>
    <row r="14" spans="1:7">
      <c r="A14" s="1" t="s">
        <v>19</v>
      </c>
      <c r="B14" s="1">
        <v>121.2010595</v>
      </c>
      <c r="C14" s="1">
        <v>31.2964912</v>
      </c>
      <c r="D14" s="1">
        <v>3.38153726789807</v>
      </c>
      <c r="E14" s="1">
        <v>0.00231734612310152</v>
      </c>
      <c r="F14" s="1">
        <f t="shared" si="0"/>
        <v>2.42118068381502</v>
      </c>
      <c r="G14" s="1">
        <f t="shared" si="1"/>
        <v>3.38153726789807</v>
      </c>
    </row>
    <row r="15" spans="1:7">
      <c r="A15" s="1" t="s">
        <v>20</v>
      </c>
      <c r="B15" s="1">
        <v>121.203164</v>
      </c>
      <c r="C15" s="1">
        <v>31.2964912</v>
      </c>
      <c r="D15" s="1">
        <v>3.38153726789807</v>
      </c>
      <c r="E15" s="1">
        <v>0.00231734612310152</v>
      </c>
      <c r="F15" s="1">
        <f t="shared" si="0"/>
        <v>2.42118068381502</v>
      </c>
      <c r="G15" s="1">
        <f t="shared" si="1"/>
        <v>3.38153726789807</v>
      </c>
    </row>
    <row r="16" spans="1:7">
      <c r="A16" s="1" t="s">
        <v>21</v>
      </c>
      <c r="B16" s="1">
        <v>121.1957982</v>
      </c>
      <c r="C16" s="1">
        <v>31.29804887</v>
      </c>
      <c r="D16" s="1">
        <v>3.38153726789807</v>
      </c>
      <c r="E16" s="1">
        <v>0.00231734612310152</v>
      </c>
      <c r="F16" s="1">
        <f t="shared" si="0"/>
        <v>2.42118068381502</v>
      </c>
      <c r="G16" s="1">
        <f t="shared" si="1"/>
        <v>3.38153726789807</v>
      </c>
    </row>
    <row r="17" spans="1:7">
      <c r="A17" s="1" t="s">
        <v>22</v>
      </c>
      <c r="B17" s="1">
        <v>121.2000072</v>
      </c>
      <c r="C17" s="1">
        <v>31.29804887</v>
      </c>
      <c r="D17" s="1">
        <v>2.33156603027792</v>
      </c>
      <c r="E17" s="1">
        <v>0.00159780746831107</v>
      </c>
      <c r="F17" s="1">
        <f t="shared" si="0"/>
        <v>1.66940127767899</v>
      </c>
      <c r="G17" s="1">
        <f t="shared" si="1"/>
        <v>2.33156603027792</v>
      </c>
    </row>
    <row r="18" spans="1:7">
      <c r="A18" s="1" t="s">
        <v>23</v>
      </c>
      <c r="B18" s="1">
        <v>121.2021117</v>
      </c>
      <c r="C18" s="1">
        <v>31.29804887</v>
      </c>
      <c r="D18" s="1">
        <v>1.94322451840339</v>
      </c>
      <c r="E18" s="1">
        <v>0.00133167948399901</v>
      </c>
      <c r="F18" s="1">
        <f t="shared" si="0"/>
        <v>1.39134875517683</v>
      </c>
      <c r="G18" s="1">
        <f t="shared" si="1"/>
        <v>1.94322451840339</v>
      </c>
    </row>
    <row r="19" spans="1:7">
      <c r="A19" s="1" t="s">
        <v>24</v>
      </c>
      <c r="B19" s="1">
        <v>121.2042162</v>
      </c>
      <c r="C19" s="1">
        <v>31.29804887</v>
      </c>
      <c r="D19" s="1">
        <v>3.38153726789807</v>
      </c>
      <c r="E19" s="1">
        <v>0.00231734612310152</v>
      </c>
      <c r="F19" s="1">
        <f t="shared" si="0"/>
        <v>2.42118068381502</v>
      </c>
      <c r="G19" s="1">
        <f t="shared" si="1"/>
        <v>3.38153726789807</v>
      </c>
    </row>
    <row r="20" spans="1:7">
      <c r="A20" s="1" t="s">
        <v>25</v>
      </c>
      <c r="B20" s="1">
        <v>121.1957982</v>
      </c>
      <c r="C20" s="1">
        <v>31.25443412</v>
      </c>
      <c r="D20" s="1">
        <v>3.38153726789807</v>
      </c>
      <c r="E20" s="1">
        <v>0.00231734612310152</v>
      </c>
      <c r="F20" s="1">
        <f t="shared" si="0"/>
        <v>2.42118068381502</v>
      </c>
      <c r="G20" s="1">
        <f t="shared" si="1"/>
        <v>3.38153726789807</v>
      </c>
    </row>
    <row r="21" spans="1:7">
      <c r="A21" s="1" t="s">
        <v>26</v>
      </c>
      <c r="B21" s="1">
        <v>121.2021117</v>
      </c>
      <c r="C21" s="1">
        <v>31.25443412</v>
      </c>
      <c r="D21" s="1">
        <v>3.38153726789807</v>
      </c>
      <c r="E21" s="1">
        <v>0.00231734612310152</v>
      </c>
      <c r="F21" s="1">
        <f t="shared" si="0"/>
        <v>2.42118068381502</v>
      </c>
      <c r="G21" s="1">
        <f t="shared" si="1"/>
        <v>3.38153726789807</v>
      </c>
    </row>
    <row r="22" spans="1:7">
      <c r="A22" s="1" t="s">
        <v>27</v>
      </c>
      <c r="B22" s="1">
        <v>121.2042162</v>
      </c>
      <c r="C22" s="1">
        <v>31.25443412</v>
      </c>
      <c r="D22" s="1">
        <v>4.41705286278476</v>
      </c>
      <c r="E22" s="1">
        <v>0.00302697841726619</v>
      </c>
      <c r="F22" s="1">
        <f t="shared" si="0"/>
        <v>3.16260984975389</v>
      </c>
      <c r="G22" s="1">
        <f t="shared" si="1"/>
        <v>4.41705286278476</v>
      </c>
    </row>
    <row r="23" spans="1:7">
      <c r="A23" s="1" t="s">
        <v>28</v>
      </c>
      <c r="B23" s="1">
        <v>121.1926415</v>
      </c>
      <c r="C23" s="1">
        <v>31.25599179</v>
      </c>
      <c r="D23" s="1">
        <v>2.33156603027792</v>
      </c>
      <c r="E23" s="1">
        <v>0.00159780746831107</v>
      </c>
      <c r="F23" s="1">
        <f t="shared" si="0"/>
        <v>1.66940127767899</v>
      </c>
      <c r="G23" s="1">
        <f t="shared" si="1"/>
        <v>2.33156603027792</v>
      </c>
    </row>
    <row r="24" spans="1:7">
      <c r="A24" s="1" t="s">
        <v>29</v>
      </c>
      <c r="B24" s="1">
        <v>121.198955</v>
      </c>
      <c r="C24" s="1">
        <v>31.25599179</v>
      </c>
      <c r="D24" s="1">
        <v>2.33156603027792</v>
      </c>
      <c r="E24" s="1">
        <v>0.00159780746831107</v>
      </c>
      <c r="F24" s="1">
        <f t="shared" si="0"/>
        <v>1.66940127767899</v>
      </c>
      <c r="G24" s="1">
        <f t="shared" si="1"/>
        <v>2.33156603027792</v>
      </c>
    </row>
    <row r="25" spans="1:7">
      <c r="A25" s="1" t="s">
        <v>30</v>
      </c>
      <c r="B25" s="1">
        <v>121.2010595</v>
      </c>
      <c r="C25" s="1">
        <v>31.25599179</v>
      </c>
      <c r="D25" s="1">
        <v>1.94322451840339</v>
      </c>
      <c r="E25" s="1">
        <v>0.00133167948399901</v>
      </c>
      <c r="F25" s="1">
        <f t="shared" si="0"/>
        <v>1.39134875517683</v>
      </c>
      <c r="G25" s="1">
        <f t="shared" si="1"/>
        <v>1.94322451840339</v>
      </c>
    </row>
    <row r="26" spans="1:7">
      <c r="A26" s="1" t="s">
        <v>31</v>
      </c>
      <c r="B26" s="1">
        <v>121.2000072</v>
      </c>
      <c r="C26" s="1">
        <v>31.25754946</v>
      </c>
      <c r="D26" s="1">
        <v>3.38153726789807</v>
      </c>
      <c r="E26" s="1">
        <v>0.00231734612310152</v>
      </c>
      <c r="F26" s="1">
        <f t="shared" si="0"/>
        <v>2.42118068381502</v>
      </c>
      <c r="G26" s="1">
        <f t="shared" si="1"/>
        <v>3.38153726789807</v>
      </c>
    </row>
    <row r="27" spans="1:7">
      <c r="A27" s="1" t="s">
        <v>32</v>
      </c>
      <c r="B27" s="1">
        <v>121.2147387</v>
      </c>
      <c r="C27" s="1">
        <v>31.25754946</v>
      </c>
      <c r="D27" s="1">
        <v>3.38153726789807</v>
      </c>
      <c r="E27" s="1">
        <v>0.00231734612310152</v>
      </c>
      <c r="F27" s="1">
        <f t="shared" si="0"/>
        <v>2.42118068381502</v>
      </c>
      <c r="G27" s="1">
        <f t="shared" si="1"/>
        <v>3.38153726789807</v>
      </c>
    </row>
    <row r="28" spans="1:7">
      <c r="A28" s="1" t="s">
        <v>33</v>
      </c>
      <c r="B28" s="1">
        <v>121.1884325</v>
      </c>
      <c r="C28" s="1">
        <v>31.25910713</v>
      </c>
      <c r="D28" s="1">
        <v>3.38153726789807</v>
      </c>
      <c r="E28" s="1">
        <v>0.00231734612310152</v>
      </c>
      <c r="F28" s="1">
        <f t="shared" si="0"/>
        <v>2.42118068381502</v>
      </c>
      <c r="G28" s="1">
        <f t="shared" si="1"/>
        <v>3.38153726789807</v>
      </c>
    </row>
    <row r="29" spans="1:7">
      <c r="A29" s="1" t="s">
        <v>34</v>
      </c>
      <c r="B29" s="1">
        <v>121.2010595</v>
      </c>
      <c r="C29" s="1">
        <v>31.25910713</v>
      </c>
      <c r="D29" s="1">
        <v>4.41705286278476</v>
      </c>
      <c r="E29" s="1">
        <v>0.00302697841726619</v>
      </c>
      <c r="F29" s="1">
        <f t="shared" si="0"/>
        <v>3.16260984975389</v>
      </c>
      <c r="G29" s="1">
        <f t="shared" si="1"/>
        <v>4.41705286278476</v>
      </c>
    </row>
    <row r="30" spans="1:7">
      <c r="A30" s="1" t="s">
        <v>35</v>
      </c>
      <c r="B30" s="1">
        <v>121.203164</v>
      </c>
      <c r="C30" s="1">
        <v>31.25910713</v>
      </c>
      <c r="D30" s="1">
        <v>2.33156603027792</v>
      </c>
      <c r="E30" s="1">
        <v>0.00159780746831107</v>
      </c>
      <c r="F30" s="1">
        <f t="shared" si="0"/>
        <v>1.66940127767899</v>
      </c>
      <c r="G30" s="1">
        <f t="shared" si="1"/>
        <v>2.33156603027792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Suns</cp:lastModifiedBy>
  <dcterms:created xsi:type="dcterms:W3CDTF">2026-01-13T08:03:26Z</dcterms:created>
  <dcterms:modified xsi:type="dcterms:W3CDTF">2026-01-13T08:04:33Z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72A54AE8BBBD42C49BBEE524EC78EE67_11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