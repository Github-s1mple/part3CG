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80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<sst xmlns="http://schemas.openxmlformats.org/spreadsheetml/2006/main" count="26" uniqueCount="26">
  <si>
    <t>Gridid</t>
  </si>
  <si>
    <t>HBlon</t>
  </si>
  <si>
    <t>HBlat</t>
  </si>
  <si>
    <t>totalDemand</t>
  </si>
  <si>
    <t>pop</t>
  </si>
  <si>
    <t>calDemand</t>
  </si>
  <si>
    <t>totalDemandcal</t>
  </si>
  <si>
    <t>[66, 29, -37]</t>
  </si>
  <si>
    <t>[68, 30, -38]</t>
  </si>
  <si>
    <t>[7, -2, -9]</t>
  </si>
  <si>
    <t>[11, 0, -11]</t>
  </si>
  <si>
    <t>[15, 2, -13]</t>
  </si>
  <si>
    <t>[17, 3, -14]</t>
  </si>
  <si>
    <t>[25, 7, -18]</t>
  </si>
  <si>
    <t>[27, 8, -19]</t>
  </si>
  <si>
    <t>[29, 9, -20]</t>
  </si>
  <si>
    <t>[31, 10, -21]</t>
  </si>
  <si>
    <t>[33, 11, -22]</t>
  </si>
  <si>
    <t>[35, 12, -23]</t>
  </si>
  <si>
    <t>[39, 14, -25]</t>
  </si>
  <si>
    <t>[41, 15, -26]</t>
  </si>
  <si>
    <t>[47, 18, -29]</t>
  </si>
  <si>
    <t>[49, 19, -30]</t>
  </si>
  <si>
    <t>[53, 21, -32]</t>
  </si>
  <si>
    <t>[55, 22, -33]</t>
  </si>
  <si>
    <t>[59, 24, -35]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</si>
</sst>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1"/>
  <sheetViews>
    <sheetView tabSelected="1" workbookViewId="0">
      <selection activeCell="A20" sqref="$A20:$XFD20"/>
    </sheetView>
  </sheetViews>
  <sheetFormatPr defaultColWidth="8.72566371681416" defaultRowHeight="13.5" outlineLevelCol="6"/>
  <cols>
    <col min="2" max="7" width="12.7964601769912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1" t="s">
        <v>7</v>
      </c>
      <c r="B2" s="1">
        <v>121.194746</v>
      </c>
      <c r="C2" s="1">
        <v>31.29026052</v>
      </c>
      <c r="D2" s="1">
        <v>1.94322451840339</v>
      </c>
      <c r="E2" s="1">
        <v>0.00133167948399901</v>
      </c>
      <c r="F2" s="1">
        <f>E2*34750*3500/116409</f>
        <v>1.39134875517683</v>
      </c>
      <c r="G2" s="1">
        <f>F2/2506*3500</f>
        <v>1.94322451840339</v>
      </c>
    </row>
    <row r="3" spans="1:7">
      <c r="A3" s="1" t="s">
        <v>8</v>
      </c>
      <c r="B3" s="1">
        <v>121.2052685</v>
      </c>
      <c r="C3" s="1">
        <v>31.29026052</v>
      </c>
      <c r="D3" s="1">
        <v>1.94322451840339</v>
      </c>
      <c r="E3" s="1">
        <v>0.00133167948399901</v>
      </c>
      <c r="F3" s="1">
        <f>E3*34750*3500/116409</f>
        <v>1.39134875517683</v>
      </c>
      <c r="G3" s="1">
        <f>F3/2506*3500</f>
        <v>1.94322451840339</v>
      </c>
    </row>
    <row r="4" spans="1:7">
      <c r="A4" s="1" t="s">
        <v>9</v>
      </c>
      <c r="B4" s="1">
        <v>121.1957982</v>
      </c>
      <c r="C4" s="1">
        <v>31.29181819</v>
      </c>
      <c r="D4" s="1">
        <v>1.94322451840339</v>
      </c>
      <c r="E4" s="1">
        <v>0.00133167948399901</v>
      </c>
      <c r="F4" s="1">
        <f>E4*34750*3500/116409</f>
        <v>1.39134875517683</v>
      </c>
      <c r="G4" s="1">
        <f>F4/2506*3500</f>
        <v>1.94322451840339</v>
      </c>
    </row>
    <row r="5" spans="1:7">
      <c r="A5" s="1" t="s">
        <v>10</v>
      </c>
      <c r="B5" s="1">
        <v>121.2063207</v>
      </c>
      <c r="C5" s="1">
        <v>31.29181819</v>
      </c>
      <c r="D5" s="1">
        <v>1.94322451840339</v>
      </c>
      <c r="E5" s="1">
        <v>0.00133167948399901</v>
      </c>
      <c r="F5" s="1">
        <f>E5*34750*3500/116409</f>
        <v>1.39134875517683</v>
      </c>
      <c r="G5" s="1">
        <f>F5/2506*3500</f>
        <v>1.94322451840339</v>
      </c>
    </row>
    <row r="6" spans="1:7">
      <c r="A6" s="1" t="s">
        <v>11</v>
      </c>
      <c r="B6" s="1">
        <v>121.198955</v>
      </c>
      <c r="C6" s="1">
        <v>31.29337586</v>
      </c>
      <c r="D6" s="1">
        <v>1.94322451840339</v>
      </c>
      <c r="E6" s="1">
        <v>0.00133167948399901</v>
      </c>
      <c r="F6" s="1">
        <f>E6*34750*3500/116409</f>
        <v>1.39134875517683</v>
      </c>
      <c r="G6" s="1">
        <f>F6/2506*3500</f>
        <v>1.94322451840339</v>
      </c>
    </row>
    <row r="7" spans="1:7">
      <c r="A7" s="1" t="s">
        <v>12</v>
      </c>
      <c r="B7" s="1">
        <v>121.2010595</v>
      </c>
      <c r="C7" s="1">
        <v>31.29337586</v>
      </c>
      <c r="D7" s="1">
        <v>1.94322451840339</v>
      </c>
      <c r="E7" s="1">
        <v>0.00133167948399901</v>
      </c>
      <c r="F7" s="1">
        <f>E7*34750*3500/116409</f>
        <v>1.39134875517683</v>
      </c>
      <c r="G7" s="1">
        <f>F7/2506*3500</f>
        <v>1.94322451840339</v>
      </c>
    </row>
    <row r="8" spans="1:7">
      <c r="A8" s="1" t="s">
        <v>13</v>
      </c>
      <c r="B8" s="1">
        <v>121.2084252</v>
      </c>
      <c r="C8" s="1">
        <v>31.29493353</v>
      </c>
      <c r="D8" s="1">
        <v>3.38153726789807</v>
      </c>
      <c r="E8" s="1">
        <v>0.00231734612310152</v>
      </c>
      <c r="F8" s="1">
        <f>E8*34750*3500/116409</f>
        <v>2.42118068381502</v>
      </c>
      <c r="G8" s="1">
        <f>F8/2506*3500</f>
        <v>3.38153726789807</v>
      </c>
    </row>
    <row r="9" spans="1:7">
      <c r="A9" s="1" t="s">
        <v>14</v>
      </c>
      <c r="B9" s="1">
        <v>121.2010595</v>
      </c>
      <c r="C9" s="1">
        <v>31.2964912</v>
      </c>
      <c r="D9" s="1">
        <v>3.38153726789807</v>
      </c>
      <c r="E9" s="1">
        <v>0.00231734612310152</v>
      </c>
      <c r="F9" s="1">
        <f>E9*34750*3500/116409</f>
        <v>2.42118068381502</v>
      </c>
      <c r="G9" s="1">
        <f>F9/2506*3500</f>
        <v>3.38153726789807</v>
      </c>
    </row>
    <row r="10" spans="1:7">
      <c r="A10" s="1" t="s">
        <v>15</v>
      </c>
      <c r="B10" s="1">
        <v>121.203164</v>
      </c>
      <c r="C10" s="1">
        <v>31.2964912</v>
      </c>
      <c r="D10" s="1">
        <v>3.38153726789807</v>
      </c>
      <c r="E10" s="1">
        <v>0.00231734612310152</v>
      </c>
      <c r="F10" s="1">
        <f>E10*34750*3500/116409</f>
        <v>2.42118068381502</v>
      </c>
      <c r="G10" s="1">
        <f>F10/2506*3500</f>
        <v>3.38153726789807</v>
      </c>
    </row>
    <row r="11" spans="1:7">
      <c r="A11" s="1" t="s">
        <v>16</v>
      </c>
      <c r="B11" s="1">
        <v>121.1957982</v>
      </c>
      <c r="C11" s="1">
        <v>31.29804887</v>
      </c>
      <c r="D11" s="1">
        <v>3.38153726789807</v>
      </c>
      <c r="E11" s="1">
        <v>0.00231734612310152</v>
      </c>
      <c r="F11" s="1">
        <f>E11*34750*3500/116409</f>
        <v>2.42118068381502</v>
      </c>
      <c r="G11" s="1">
        <f>F11/2506*3500</f>
        <v>3.38153726789807</v>
      </c>
    </row>
    <row r="12" spans="1:7">
      <c r="A12" s="1" t="s">
        <v>17</v>
      </c>
      <c r="B12" s="1">
        <v>121.2000072</v>
      </c>
      <c r="C12" s="1">
        <v>31.29804887</v>
      </c>
      <c r="D12" s="1">
        <v>2.33156603027792</v>
      </c>
      <c r="E12" s="1">
        <v>0.00159780746831107</v>
      </c>
      <c r="F12" s="1">
        <f>E12*34750*3500/116409</f>
        <v>1.66940127767899</v>
      </c>
      <c r="G12" s="1">
        <f>F12/2506*3500</f>
        <v>2.33156603027792</v>
      </c>
    </row>
    <row r="13" spans="1:7">
      <c r="A13" s="1" t="s">
        <v>18</v>
      </c>
      <c r="B13" s="1">
        <v>121.2021117</v>
      </c>
      <c r="C13" s="1">
        <v>31.29804887</v>
      </c>
      <c r="D13" s="1">
        <v>1.94322451840339</v>
      </c>
      <c r="E13" s="1">
        <v>0.00133167948399901</v>
      </c>
      <c r="F13" s="1">
        <f>E13*34750*3500/116409</f>
        <v>1.39134875517683</v>
      </c>
      <c r="G13" s="1">
        <f>F13/2506*3500</f>
        <v>1.94322451840339</v>
      </c>
    </row>
    <row r="14" spans="1:7">
      <c r="A14" s="1" t="s">
        <v>19</v>
      </c>
      <c r="B14" s="1">
        <v>121.1957982</v>
      </c>
      <c r="C14" s="1">
        <v>31.25443412</v>
      </c>
      <c r="D14" s="1">
        <v>3.38153726789807</v>
      </c>
      <c r="E14" s="1">
        <v>0.00231734612310152</v>
      </c>
      <c r="F14" s="1">
        <f>E14*34750*3500/116409</f>
        <v>2.42118068381502</v>
      </c>
      <c r="G14" s="1">
        <f>F14/2506*3500</f>
        <v>3.38153726789807</v>
      </c>
    </row>
    <row r="15" spans="1:7">
      <c r="A15" s="1" t="s">
        <v>20</v>
      </c>
      <c r="B15" s="1">
        <v>121.2021117</v>
      </c>
      <c r="C15" s="1">
        <v>31.25443412</v>
      </c>
      <c r="D15" s="1">
        <v>3.38153726789807</v>
      </c>
      <c r="E15" s="1">
        <v>0.00231734612310152</v>
      </c>
      <c r="F15" s="1">
        <f>E15*34750*3500/116409</f>
        <v>2.42118068381502</v>
      </c>
      <c r="G15" s="1">
        <f>F15/2506*3500</f>
        <v>3.38153726789807</v>
      </c>
    </row>
    <row r="16" spans="1:7">
      <c r="A16" s="1" t="s">
        <v>21</v>
      </c>
      <c r="B16" s="1">
        <v>121.1926415</v>
      </c>
      <c r="C16" s="1">
        <v>31.25599179</v>
      </c>
      <c r="D16" s="1">
        <v>2.33156603027792</v>
      </c>
      <c r="E16" s="1">
        <v>0.00159780746831107</v>
      </c>
      <c r="F16" s="1">
        <f>E16*34750*3500/116409</f>
        <v>1.66940127767899</v>
      </c>
      <c r="G16" s="1">
        <f>F16/2506*3500</f>
        <v>2.33156603027792</v>
      </c>
    </row>
    <row r="17" spans="1:7">
      <c r="A17" s="1" t="s">
        <v>22</v>
      </c>
      <c r="B17" s="1">
        <v>121.198955</v>
      </c>
      <c r="C17" s="1">
        <v>31.25599179</v>
      </c>
      <c r="D17" s="1">
        <v>2.33156603027792</v>
      </c>
      <c r="E17" s="1">
        <v>0.00159780746831107</v>
      </c>
      <c r="F17" s="1">
        <f>E17*34750*3500/116409</f>
        <v>1.66940127767899</v>
      </c>
      <c r="G17" s="1">
        <f>F17/2506*3500</f>
        <v>2.33156603027792</v>
      </c>
    </row>
    <row r="18" spans="1:7">
      <c r="A18" s="1" t="s">
        <v>23</v>
      </c>
      <c r="B18" s="1">
        <v>121.2000072</v>
      </c>
      <c r="C18" s="1">
        <v>31.25754946</v>
      </c>
      <c r="D18" s="1">
        <v>3.38153726789807</v>
      </c>
      <c r="E18" s="1">
        <v>0.00231734612310152</v>
      </c>
      <c r="F18" s="1">
        <f>E18*34750*3500/116409</f>
        <v>2.42118068381502</v>
      </c>
      <c r="G18" s="1">
        <f>F18/2506*3500</f>
        <v>3.38153726789807</v>
      </c>
    </row>
    <row r="19" spans="1:7">
      <c r="A19" s="1" t="s">
        <v>24</v>
      </c>
      <c r="B19" s="1">
        <v>121.2147387</v>
      </c>
      <c r="C19" s="1">
        <v>31.25754946</v>
      </c>
      <c r="D19" s="1">
        <v>3.38153726789807</v>
      </c>
      <c r="E19" s="1">
        <v>0.00231734612310152</v>
      </c>
      <c r="F19" s="1">
        <f>E19*34750*3500/116409</f>
        <v>2.42118068381502</v>
      </c>
      <c r="G19" s="1">
        <f>F19/2506*3500</f>
        <v>3.38153726789807</v>
      </c>
    </row>
    <row r="20" spans="1:7">
      <c r="A20" s="1" t="s">
        <v>25</v>
      </c>
      <c r="B20" s="1">
        <v>121.2010595</v>
      </c>
      <c r="C20" s="1">
        <v>31.25910713</v>
      </c>
      <c r="D20" s="1">
        <v>4.41705286278476</v>
      </c>
      <c r="E20" s="1">
        <v>0.00302697841726619</v>
      </c>
      <c r="F20" s="1">
        <f>E20*34750*3500/116409</f>
        <v>3.16260984975389</v>
      </c>
      <c r="G20" s="1">
        <f>F20/2506*3500</f>
        <v>4.41705286278476</v>
      </c>
    </row>
    <row r="21" spans="1:7">
      <c r="A21" s="1"/>
      <c r="B21" s="1"/>
      <c r="C21" s="1"/>
      <c r="D21" s="1"/>
      <c r="E21" s="1"/>
      <c r="F21" s="1"/>
      <c r="G21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Suns</cp:lastModifiedBy>
  <dcterms:created xsi:type="dcterms:W3CDTF">2026-01-13T08:03:00Z</dcterms:created>
  <dcterms:modified xsi:type="dcterms:W3CDTF">2026-02-03T05:48:07Z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72A54AE8BBBD42C49BBEE524EC78EE67_11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1</vt:i4>
  </property>
</Properties>
</file>