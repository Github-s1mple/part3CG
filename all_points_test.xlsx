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8055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<sst xmlns="http://schemas.openxmlformats.org/spreadsheetml/2006/main" count="36" uniqueCount="36">
  <si>
    <t>Gridid</t>
  </si>
  <si>
    <t>HBlon</t>
  </si>
  <si>
    <t>HBlat</t>
  </si>
  <si>
    <t>totalDemand</t>
  </si>
  <si>
    <t>pop</t>
  </si>
  <si>
    <t>calDemand</t>
  </si>
  <si>
    <t>totalDemandcal</t>
  </si>
  <si>
    <t>[66, 29, -37]</t>
  </si>
  <si>
    <t>[68, 30, -38]</t>
  </si>
  <si>
    <t>[70, 31, -39]</t>
  </si>
  <si>
    <t>[7, -2, -9]</t>
  </si>
  <si>
    <t>[9, -1, -10]</t>
  </si>
  <si>
    <t>[11, 0, -11]</t>
  </si>
  <si>
    <t>[15, 2, -13]</t>
  </si>
  <si>
    <t>[17, 3, -14]</t>
  </si>
  <si>
    <t>[19, 4, -15]</t>
  </si>
  <si>
    <t>[21, 5, -16]</t>
  </si>
  <si>
    <t>[23, 6, -17]</t>
  </si>
  <si>
    <t>[25, 7, -18]</t>
  </si>
  <si>
    <t>[27, 8, -19]</t>
  </si>
  <si>
    <t>[29, 9, -20]</t>
  </si>
  <si>
    <t>[31, 10, -21]</t>
  </si>
  <si>
    <t>[33, 11, -22]</t>
  </si>
  <si>
    <t>[35, 12, -23]</t>
  </si>
  <si>
    <t>[37, 13, -24]</t>
  </si>
  <si>
    <t>[39, 14, -25]</t>
  </si>
  <si>
    <t>[41, 15, -26]</t>
  </si>
  <si>
    <t>[43, 16, -27]</t>
  </si>
  <si>
    <t>[47, 18, -29]</t>
  </si>
  <si>
    <t>[49, 19, -30]</t>
  </si>
  <si>
    <t>[51, 20, -31]</t>
  </si>
  <si>
    <t>[53, 21, -32]</t>
  </si>
  <si>
    <t>[55, 22, -33]</t>
  </si>
  <si>
    <t>[57, 23, -34]</t>
  </si>
  <si>
    <t>[59, 24, -35]</t>
  </si>
  <si>
    <t>[61, 25, -36]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</si>
</sst>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0"/>
  <sheetViews>
    <sheetView tabSelected="1" topLeftCell="A10" workbookViewId="0">
      <selection activeCell="J13" sqref="J13"/>
    </sheetView>
  </sheetViews>
  <sheetFormatPr defaultColWidth="9.02654867256637" defaultRowHeight="13.5" outlineLevelCol="6"/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  <c r="G1" s="1" t="s">
        <v>6</v>
      </c>
    </row>
    <row r="2" spans="1:7">
      <c r="A2" s="1" t="s">
        <v>7</v>
      </c>
      <c r="B2">
        <v>121.194746</v>
      </c>
      <c r="C2">
        <v>31.29026052</v>
      </c>
      <c r="D2">
        <v>1.94322451840339</v>
      </c>
      <c r="E2">
        <v>0.00133167948399901</v>
      </c>
      <c r="F2">
        <f t="shared" ref="F2:F30" si="0">E2*34750*3500/116409</f>
        <v>1.39134875517683</v>
      </c>
      <c r="G2">
        <f t="shared" ref="G2:G30" si="1">F2/2506*3500</f>
        <v>1.94322451840339</v>
      </c>
    </row>
    <row r="3" spans="1:7">
      <c r="A3" s="1" t="s">
        <v>8</v>
      </c>
      <c r="B3">
        <v>121.2052685</v>
      </c>
      <c r="C3">
        <v>31.29026052</v>
      </c>
      <c r="D3">
        <v>1.94322451840339</v>
      </c>
      <c r="E3">
        <v>0.00133167948399901</v>
      </c>
      <c r="F3">
        <f t="shared" si="0"/>
        <v>1.39134875517683</v>
      </c>
      <c r="G3">
        <f t="shared" si="1"/>
        <v>1.94322451840339</v>
      </c>
    </row>
    <row r="4" spans="1:7">
      <c r="A4" s="1" t="s">
        <v>9</v>
      </c>
      <c r="B4">
        <v>121.1936937</v>
      </c>
      <c r="C4">
        <v>31.29181819</v>
      </c>
      <c r="D4">
        <v>1.94322451840339</v>
      </c>
      <c r="E4">
        <v>0.00133167948399901</v>
      </c>
      <c r="F4">
        <f t="shared" si="0"/>
        <v>1.39134875517683</v>
      </c>
      <c r="G4">
        <f t="shared" si="1"/>
        <v>1.94322451840339</v>
      </c>
    </row>
    <row r="5" spans="1:7">
      <c r="A5" s="1" t="s">
        <v>10</v>
      </c>
      <c r="B5">
        <v>121.1957982</v>
      </c>
      <c r="C5">
        <v>31.29181819</v>
      </c>
      <c r="D5">
        <v>1.94322451840339</v>
      </c>
      <c r="E5">
        <v>0.00133167948399901</v>
      </c>
      <c r="F5">
        <f t="shared" si="0"/>
        <v>1.39134875517683</v>
      </c>
      <c r="G5">
        <f t="shared" si="1"/>
        <v>1.94322451840339</v>
      </c>
    </row>
    <row r="6" spans="1:7">
      <c r="A6" s="1" t="s">
        <v>11</v>
      </c>
      <c r="B6">
        <v>121.1979027</v>
      </c>
      <c r="C6">
        <v>31.29181819</v>
      </c>
      <c r="D6">
        <v>1.94322451840339</v>
      </c>
      <c r="E6">
        <v>0.00133167948399901</v>
      </c>
      <c r="F6">
        <f t="shared" si="0"/>
        <v>1.39134875517683</v>
      </c>
      <c r="G6">
        <f t="shared" si="1"/>
        <v>1.94322451840339</v>
      </c>
    </row>
    <row r="7" spans="1:7">
      <c r="A7" s="1" t="s">
        <v>12</v>
      </c>
      <c r="B7">
        <v>121.2063207</v>
      </c>
      <c r="C7">
        <v>31.29181819</v>
      </c>
      <c r="D7">
        <v>1.94322451840339</v>
      </c>
      <c r="E7">
        <v>0.00133167948399901</v>
      </c>
      <c r="F7">
        <f t="shared" si="0"/>
        <v>1.39134875517683</v>
      </c>
      <c r="G7">
        <f t="shared" si="1"/>
        <v>1.94322451840339</v>
      </c>
    </row>
    <row r="8" spans="1:7">
      <c r="A8" s="1" t="s">
        <v>13</v>
      </c>
      <c r="B8">
        <v>121.198955</v>
      </c>
      <c r="C8">
        <v>31.29337586</v>
      </c>
      <c r="D8">
        <v>1.94322451840339</v>
      </c>
      <c r="E8">
        <v>0.00133167948399901</v>
      </c>
      <c r="F8">
        <f t="shared" si="0"/>
        <v>1.39134875517683</v>
      </c>
      <c r="G8">
        <f t="shared" si="1"/>
        <v>1.94322451840339</v>
      </c>
    </row>
    <row r="9" spans="1:7">
      <c r="A9" s="1" t="s">
        <v>14</v>
      </c>
      <c r="B9">
        <v>121.2010595</v>
      </c>
      <c r="C9">
        <v>31.29337586</v>
      </c>
      <c r="D9">
        <v>1.94322451840339</v>
      </c>
      <c r="E9">
        <v>0.00133167948399901</v>
      </c>
      <c r="F9">
        <f t="shared" si="0"/>
        <v>1.39134875517683</v>
      </c>
      <c r="G9">
        <f t="shared" si="1"/>
        <v>1.94322451840339</v>
      </c>
    </row>
    <row r="10" spans="1:7">
      <c r="A10" s="1" t="s">
        <v>15</v>
      </c>
      <c r="B10">
        <v>121.1979027</v>
      </c>
      <c r="C10">
        <v>31.29493353</v>
      </c>
      <c r="D10">
        <v>2.33156603027792</v>
      </c>
      <c r="E10">
        <v>0.00159780746831107</v>
      </c>
      <c r="F10">
        <f t="shared" si="0"/>
        <v>1.66940127767899</v>
      </c>
      <c r="G10">
        <f t="shared" si="1"/>
        <v>2.33156603027792</v>
      </c>
    </row>
    <row r="11" spans="1:7">
      <c r="A11" s="1" t="s">
        <v>16</v>
      </c>
      <c r="B11">
        <v>121.2000072</v>
      </c>
      <c r="C11">
        <v>31.29493353</v>
      </c>
      <c r="D11">
        <v>2.33156603027792</v>
      </c>
      <c r="E11">
        <v>0.00159780746831107</v>
      </c>
      <c r="F11">
        <f t="shared" si="0"/>
        <v>1.66940127767899</v>
      </c>
      <c r="G11">
        <f t="shared" si="1"/>
        <v>2.33156603027792</v>
      </c>
    </row>
    <row r="12" spans="1:7">
      <c r="A12" s="1" t="s">
        <v>17</v>
      </c>
      <c r="B12">
        <v>121.2021117</v>
      </c>
      <c r="C12">
        <v>31.29493353</v>
      </c>
      <c r="D12">
        <v>1.94322451840339</v>
      </c>
      <c r="E12">
        <v>0.00133167948399901</v>
      </c>
      <c r="F12">
        <f t="shared" si="0"/>
        <v>1.39134875517683</v>
      </c>
      <c r="G12">
        <f t="shared" si="1"/>
        <v>1.94322451840339</v>
      </c>
    </row>
    <row r="13" spans="1:7">
      <c r="A13" s="1" t="s">
        <v>18</v>
      </c>
      <c r="B13">
        <v>121.2084252</v>
      </c>
      <c r="C13">
        <v>31.29493353</v>
      </c>
      <c r="D13">
        <v>3.38153726789807</v>
      </c>
      <c r="E13">
        <v>0.00231734612310152</v>
      </c>
      <c r="F13">
        <f t="shared" si="0"/>
        <v>2.42118068381502</v>
      </c>
      <c r="G13">
        <f t="shared" si="1"/>
        <v>3.38153726789807</v>
      </c>
    </row>
    <row r="14" spans="1:7">
      <c r="A14" s="1" t="s">
        <v>19</v>
      </c>
      <c r="B14">
        <v>121.2010595</v>
      </c>
      <c r="C14">
        <v>31.2964912</v>
      </c>
      <c r="D14">
        <v>3.38153726789807</v>
      </c>
      <c r="E14">
        <v>0.00231734612310152</v>
      </c>
      <c r="F14">
        <f t="shared" si="0"/>
        <v>2.42118068381502</v>
      </c>
      <c r="G14">
        <f t="shared" si="1"/>
        <v>3.38153726789807</v>
      </c>
    </row>
    <row r="15" spans="1:7">
      <c r="A15" s="1" t="s">
        <v>20</v>
      </c>
      <c r="B15">
        <v>121.203164</v>
      </c>
      <c r="C15">
        <v>31.2964912</v>
      </c>
      <c r="D15">
        <v>3.38153726789807</v>
      </c>
      <c r="E15">
        <v>0.00231734612310152</v>
      </c>
      <c r="F15">
        <f t="shared" si="0"/>
        <v>2.42118068381502</v>
      </c>
      <c r="G15">
        <f t="shared" si="1"/>
        <v>3.38153726789807</v>
      </c>
    </row>
    <row r="16" spans="1:7">
      <c r="A16" s="1" t="s">
        <v>21</v>
      </c>
      <c r="B16">
        <v>121.1957982</v>
      </c>
      <c r="C16">
        <v>31.29804887</v>
      </c>
      <c r="D16">
        <v>3.38153726789807</v>
      </c>
      <c r="E16">
        <v>0.00231734612310152</v>
      </c>
      <c r="F16">
        <f t="shared" si="0"/>
        <v>2.42118068381502</v>
      </c>
      <c r="G16">
        <f t="shared" si="1"/>
        <v>3.38153726789807</v>
      </c>
    </row>
    <row r="17" spans="1:7">
      <c r="A17" s="1" t="s">
        <v>22</v>
      </c>
      <c r="B17">
        <v>121.2000072</v>
      </c>
      <c r="C17">
        <v>31.29804887</v>
      </c>
      <c r="D17">
        <v>2.33156603027792</v>
      </c>
      <c r="E17">
        <v>0.00159780746831107</v>
      </c>
      <c r="F17">
        <f t="shared" si="0"/>
        <v>1.66940127767899</v>
      </c>
      <c r="G17">
        <f t="shared" si="1"/>
        <v>2.33156603027792</v>
      </c>
    </row>
    <row r="18" spans="1:7">
      <c r="A18" s="1" t="s">
        <v>23</v>
      </c>
      <c r="B18">
        <v>121.2021117</v>
      </c>
      <c r="C18">
        <v>31.29804887</v>
      </c>
      <c r="D18">
        <v>1.94322451840339</v>
      </c>
      <c r="E18">
        <v>0.00133167948399901</v>
      </c>
      <c r="F18">
        <f t="shared" si="0"/>
        <v>1.39134875517683</v>
      </c>
      <c r="G18">
        <f t="shared" si="1"/>
        <v>1.94322451840339</v>
      </c>
    </row>
    <row r="19" spans="1:7">
      <c r="A19" s="1" t="s">
        <v>24</v>
      </c>
      <c r="B19">
        <v>121.2042162</v>
      </c>
      <c r="C19">
        <v>31.29804887</v>
      </c>
      <c r="D19">
        <v>3.38153726789807</v>
      </c>
      <c r="E19">
        <v>0.00231734612310152</v>
      </c>
      <c r="F19">
        <f t="shared" si="0"/>
        <v>2.42118068381502</v>
      </c>
      <c r="G19">
        <f t="shared" si="1"/>
        <v>3.38153726789807</v>
      </c>
    </row>
    <row r="20" spans="1:7">
      <c r="A20" s="1" t="s">
        <v>25</v>
      </c>
      <c r="B20">
        <v>121.1957982</v>
      </c>
      <c r="C20">
        <v>31.25443412</v>
      </c>
      <c r="D20">
        <v>3.38153726789807</v>
      </c>
      <c r="E20">
        <v>0.00231734612310152</v>
      </c>
      <c r="F20">
        <f t="shared" si="0"/>
        <v>2.42118068381502</v>
      </c>
      <c r="G20">
        <f t="shared" si="1"/>
        <v>3.38153726789807</v>
      </c>
    </row>
    <row r="21" spans="1:7">
      <c r="A21" s="1" t="s">
        <v>26</v>
      </c>
      <c r="B21">
        <v>121.2021117</v>
      </c>
      <c r="C21">
        <v>31.25443412</v>
      </c>
      <c r="D21">
        <v>3.38153726789807</v>
      </c>
      <c r="E21">
        <v>0.00231734612310152</v>
      </c>
      <c r="F21">
        <f t="shared" si="0"/>
        <v>2.42118068381502</v>
      </c>
      <c r="G21">
        <f t="shared" si="1"/>
        <v>3.38153726789807</v>
      </c>
    </row>
    <row r="22" spans="1:7">
      <c r="A22" s="1" t="s">
        <v>27</v>
      </c>
      <c r="B22">
        <v>121.2042162</v>
      </c>
      <c r="C22">
        <v>31.25443412</v>
      </c>
      <c r="D22">
        <v>4.41705286278476</v>
      </c>
      <c r="E22">
        <v>0.00302697841726619</v>
      </c>
      <c r="F22">
        <f t="shared" si="0"/>
        <v>3.16260984975389</v>
      </c>
      <c r="G22">
        <f t="shared" si="1"/>
        <v>4.41705286278476</v>
      </c>
    </row>
    <row r="23" spans="1:7">
      <c r="A23" s="1" t="s">
        <v>28</v>
      </c>
      <c r="B23">
        <v>121.1926415</v>
      </c>
      <c r="C23">
        <v>31.25599179</v>
      </c>
      <c r="D23">
        <v>2.33156603027792</v>
      </c>
      <c r="E23">
        <v>0.00159780746831107</v>
      </c>
      <c r="F23">
        <f t="shared" si="0"/>
        <v>1.66940127767899</v>
      </c>
      <c r="G23">
        <f t="shared" si="1"/>
        <v>2.33156603027792</v>
      </c>
    </row>
    <row r="24" spans="1:7">
      <c r="A24" s="1" t="s">
        <v>29</v>
      </c>
      <c r="B24">
        <v>121.198955</v>
      </c>
      <c r="C24">
        <v>31.25599179</v>
      </c>
      <c r="D24">
        <v>2.33156603027792</v>
      </c>
      <c r="E24">
        <v>0.00159780746831107</v>
      </c>
      <c r="F24">
        <f t="shared" si="0"/>
        <v>1.66940127767899</v>
      </c>
      <c r="G24">
        <f t="shared" si="1"/>
        <v>2.33156603027792</v>
      </c>
    </row>
    <row r="25" spans="1:7">
      <c r="A25" s="1" t="s">
        <v>30</v>
      </c>
      <c r="B25">
        <v>121.2010595</v>
      </c>
      <c r="C25">
        <v>31.25599179</v>
      </c>
      <c r="D25">
        <v>1.94322451840339</v>
      </c>
      <c r="E25">
        <v>0.00133167948399901</v>
      </c>
      <c r="F25">
        <f t="shared" si="0"/>
        <v>1.39134875517683</v>
      </c>
      <c r="G25">
        <f t="shared" si="1"/>
        <v>1.94322451840339</v>
      </c>
    </row>
    <row r="26" spans="1:7">
      <c r="A26" s="1" t="s">
        <v>31</v>
      </c>
      <c r="B26">
        <v>121.2000072</v>
      </c>
      <c r="C26">
        <v>31.25754946</v>
      </c>
      <c r="D26">
        <v>3.38153726789807</v>
      </c>
      <c r="E26">
        <v>0.00231734612310152</v>
      </c>
      <c r="F26">
        <f t="shared" si="0"/>
        <v>2.42118068381502</v>
      </c>
      <c r="G26">
        <f t="shared" si="1"/>
        <v>3.38153726789807</v>
      </c>
    </row>
    <row r="27" spans="1:7">
      <c r="A27" s="1" t="s">
        <v>32</v>
      </c>
      <c r="B27">
        <v>121.2147387</v>
      </c>
      <c r="C27">
        <v>31.25754946</v>
      </c>
      <c r="D27">
        <v>3.38153726789807</v>
      </c>
      <c r="E27">
        <v>0.00231734612310152</v>
      </c>
      <c r="F27">
        <f t="shared" si="0"/>
        <v>2.42118068381502</v>
      </c>
      <c r="G27">
        <f t="shared" si="1"/>
        <v>3.38153726789807</v>
      </c>
    </row>
    <row r="28" spans="1:7">
      <c r="A28" s="1" t="s">
        <v>33</v>
      </c>
      <c r="B28">
        <v>121.1884325</v>
      </c>
      <c r="C28">
        <v>31.25910713</v>
      </c>
      <c r="D28">
        <v>3.38153726789807</v>
      </c>
      <c r="E28">
        <v>0.00231734612310152</v>
      </c>
      <c r="F28">
        <f t="shared" si="0"/>
        <v>2.42118068381502</v>
      </c>
      <c r="G28">
        <f t="shared" si="1"/>
        <v>3.38153726789807</v>
      </c>
    </row>
    <row r="29" spans="1:7">
      <c r="A29" s="1" t="s">
        <v>34</v>
      </c>
      <c r="B29">
        <v>121.2010595</v>
      </c>
      <c r="C29">
        <v>31.25910713</v>
      </c>
      <c r="D29">
        <v>4.41705286278476</v>
      </c>
      <c r="E29">
        <v>0.00302697841726619</v>
      </c>
      <c r="F29">
        <f t="shared" si="0"/>
        <v>3.16260984975389</v>
      </c>
      <c r="G29">
        <f t="shared" si="1"/>
        <v>4.41705286278476</v>
      </c>
    </row>
    <row r="30" spans="1:7">
      <c r="A30" s="1" t="s">
        <v>35</v>
      </c>
      <c r="B30">
        <v>121.203164</v>
      </c>
      <c r="C30">
        <v>31.25910713</v>
      </c>
      <c r="D30">
        <v>2.33156603027792</v>
      </c>
      <c r="E30">
        <v>0.00159780746831107</v>
      </c>
      <c r="F30">
        <f t="shared" si="0"/>
        <v>1.66940127767899</v>
      </c>
      <c r="G30">
        <f t="shared" si="1"/>
        <v>2.33156603027792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82475</dc:creator>
  <cp:lastModifiedBy>Suns</cp:lastModifiedBy>
  <dcterms:created xsi:type="dcterms:W3CDTF">2025-11-10T07:24:00Z</dcterms:created>
  <dcterms:modified xsi:type="dcterms:W3CDTF">2026-01-12T13:09:43Z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4A7A4A95C3BA4C83B8058F501BE06DEB_11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