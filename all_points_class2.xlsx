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all_points" sheetId="1" r:id="rId1"/>
  </sheets>
  <definedNames>
    <definedName name="_xlnm._FilterDatabase" localSheetId="0" hidden="1">all_points!$A$1:$H$71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<sst xmlns="http://schemas.openxmlformats.org/spreadsheetml/2006/main" count="78" uniqueCount="78">
  <si>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Gridid</t>
  </si>
  <si>
    <t>HBlon</t>
  </si>
  <si>
    <t>HBlat</t>
  </si>
  <si>
    <t>totalDemand</t>
  </si>
  <si>
    <t>pop</t>
  </si>
  <si>
    <t>calDemand</t>
  </si>
  <si>
    <t>totalDemandcal</t>
  </si>
  <si>
    <t>Class</t>
  </si>
  <si>
    <t>[11, -3, -14]</t>
  </si>
  <si>
    <t>[17, 0, -17]</t>
  </si>
  <si>
    <t>[35, 9, -26]</t>
  </si>
  <si>
    <t>[14, -3, -17]</t>
  </si>
  <si>
    <t>[22, 1, -21]</t>
  </si>
  <si>
    <t>[38, 9, -29]</t>
  </si>
  <si>
    <t>[40, 10, -30]</t>
  </si>
  <si>
    <t>[60, 20, -40]</t>
  </si>
  <si>
    <t>[68, 24, -44]</t>
  </si>
  <si>
    <t>[25, 1, -24]</t>
  </si>
  <si>
    <t>[39, 8, -31]</t>
  </si>
  <si>
    <t>[49, 13, -36]</t>
  </si>
  <si>
    <t>[51, 14, -37]</t>
  </si>
  <si>
    <t>[53, 15, -38]</t>
  </si>
  <si>
    <t>[55, 16, -39]</t>
  </si>
  <si>
    <t>[14, -6, -20]</t>
  </si>
  <si>
    <t>[16, -5, -21]</t>
  </si>
  <si>
    <t>[44, 9, -35]</t>
  </si>
  <si>
    <t>[64, 19, -45]</t>
  </si>
  <si>
    <t>[66, 20, -46]</t>
  </si>
  <si>
    <t>[68, 21, -47]</t>
  </si>
  <si>
    <t>[70, 22, -48]</t>
  </si>
  <si>
    <t>[72, 23, -49]</t>
  </si>
  <si>
    <t>[11, -9, -20]</t>
  </si>
  <si>
    <t>[35, 3, -32]</t>
  </si>
  <si>
    <t>[37, 4, -33]</t>
  </si>
  <si>
    <t>[43, 7, -36]</t>
  </si>
  <si>
    <t>[45, 8, -37]</t>
  </si>
  <si>
    <t>[61, 16, -45]</t>
  </si>
  <si>
    <t>[87, 29, -58]</t>
  </si>
  <si>
    <t>[12, -10, -22]</t>
  </si>
  <si>
    <t>[14, -9, -23]</t>
  </si>
  <si>
    <t>[34, 1, -33]</t>
  </si>
  <si>
    <t>[44, 6, -38]</t>
  </si>
  <si>
    <t>[46, 7, -39]</t>
  </si>
  <si>
    <t>[48, 8, -40]</t>
  </si>
  <si>
    <t>[64, 16, -48]</t>
  </si>
  <si>
    <t>[66, 17, -49]</t>
  </si>
  <si>
    <t>[68, 18, -50]</t>
  </si>
  <si>
    <t>[70, 19, -51]</t>
  </si>
  <si>
    <t>[86, 27, -59]</t>
  </si>
  <si>
    <t>[17, -9, -26]</t>
  </si>
  <si>
    <t>[25, -5, -30]</t>
  </si>
  <si>
    <t>[27, -4, -31]</t>
  </si>
  <si>
    <t>[29, -3, -32]</t>
  </si>
  <si>
    <t>[43, 4, -39]</t>
  </si>
  <si>
    <t>[45, 5, -40]</t>
  </si>
  <si>
    <t>[47, 6, -41]</t>
  </si>
  <si>
    <t>[63, 14, -49]</t>
  </si>
  <si>
    <t>[73, 19, -54]</t>
  </si>
  <si>
    <t>[12, -13, -25]</t>
  </si>
  <si>
    <t>[14, -12, -26]</t>
  </si>
  <si>
    <t>[34, -2, -36]</t>
  </si>
  <si>
    <t>[38, 0, -38]</t>
  </si>
  <si>
    <t>[54, 8, -46]</t>
  </si>
  <si>
    <t>[74, 18, -56]</t>
  </si>
  <si>
    <t>[76, 19, -57]</t>
  </si>
  <si>
    <t>[78, 20, -58]</t>
  </si>
  <si>
    <t>[82, 22, -60]</t>
  </si>
  <si>
    <t>[84, 23, -61]</t>
  </si>
  <si>
    <t>[7, -17, -24]</t>
  </si>
  <si>
    <t>[9, -16, -25]</t>
  </si>
  <si>
    <t>[37, -2, -39]</t>
  </si>
  <si>
    <t>[39, -1, -40]</t>
  </si>
  <si>
    <t>[59, 9, -50]</t>
  </si>
  <si>
    <t>[63, 11, -52]</t>
  </si>
  <si>
    <t>[26, -9, -35]</t>
  </si>
  <si>
    <t>[28, -8, -36]</t>
  </si>
  <si>
    <t>[50, 3, -47]</t>
  </si>
  <si>
    <t>[65, 9, -56]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</si>
</sst>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zoomScaleSheetLayoutView="60" workbookViewId="0">
      <selection activeCell="L12" sqref="L12"/>
    </sheetView>
  </sheetViews>
  <sheetFormatPr defaultColWidth="9.55855855855856" defaultRowHeight="14.1" outlineLevelCol="7"/>
  <cols>
    <col min="2" max="3" width="12.8198198198198"/>
    <col min="4" max="4" width="12.8018018018018" customWidth="1"/>
    <col min="5" max="5" width="12.8018018018018" style="1"/>
    <col min="6" max="7" width="12.8018018018018"/>
    <col min="8" max="8" width="9.81981981981982" style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121.1884325</v>
      </c>
      <c r="C2" s="1">
        <v>31.25910713</v>
      </c>
      <c r="D2">
        <v>1.94322451840339</v>
      </c>
      <c r="E2">
        <v>0.00133167948399901</v>
      </c>
      <c r="F2">
        <f>E2*34750*3500/116409</f>
        <v>1.39134875517683</v>
      </c>
      <c r="G2">
        <f>F2/2506*3500</f>
        <v>1.94322451840339</v>
      </c>
      <c r="H2" s="1">
        <v>1</v>
      </c>
    </row>
    <row r="3" spans="1:8">
      <c r="A3" s="1" t="s">
        <v>9</v>
      </c>
      <c r="B3" s="1">
        <v>121.1884325</v>
      </c>
      <c r="C3" s="1">
        <v>31.27468382</v>
      </c>
      <c r="D3">
        <v>3.38153726789807</v>
      </c>
      <c r="E3">
        <v>0.00231734612310152</v>
      </c>
      <c r="F3">
        <f>E3*34750*3500/116409</f>
        <v>2.42118068381502</v>
      </c>
      <c r="G3">
        <f>F3/2506*3500</f>
        <v>3.38153726789807</v>
      </c>
      <c r="H3" s="1">
        <v>1</v>
      </c>
    </row>
    <row r="4" spans="1:8">
      <c r="A4" s="1" t="s">
        <v>10</v>
      </c>
      <c r="B4" s="1">
        <v>121.1894847</v>
      </c>
      <c r="C4" s="1">
        <v>31.2606648</v>
      </c>
      <c r="D4">
        <v>2.33156603027792</v>
      </c>
      <c r="E4">
        <v>0.00159780746831107</v>
      </c>
      <c r="F4">
        <f>E4*34750*3500/116409</f>
        <v>1.66940127767899</v>
      </c>
      <c r="G4">
        <f>F4/2506*3500</f>
        <v>2.33156603027792</v>
      </c>
      <c r="H4" s="1">
        <v>1</v>
      </c>
    </row>
    <row r="5" spans="1:8">
      <c r="A5" s="1" t="s">
        <v>11</v>
      </c>
      <c r="B5" s="1">
        <v>121.1894847</v>
      </c>
      <c r="C5" s="1">
        <v>31.26689547</v>
      </c>
      <c r="D5">
        <v>3.38153726789807</v>
      </c>
      <c r="E5">
        <v>0.00231734612310152</v>
      </c>
      <c r="F5">
        <f>E5*34750*3500/116409</f>
        <v>2.42118068381502</v>
      </c>
      <c r="G5">
        <f>F5/2506*3500</f>
        <v>3.38153726789807</v>
      </c>
      <c r="H5" s="1">
        <v>1</v>
      </c>
    </row>
    <row r="6" spans="1:8">
      <c r="A6" s="1" t="s">
        <v>12</v>
      </c>
      <c r="B6" s="1">
        <v>121.1894847</v>
      </c>
      <c r="C6" s="1">
        <v>31.27312615</v>
      </c>
      <c r="D6">
        <v>3.38153726789807</v>
      </c>
      <c r="E6">
        <v>0.00231734612310152</v>
      </c>
      <c r="F6">
        <f>E6*34750*3500/116409</f>
        <v>2.42118068381502</v>
      </c>
      <c r="G6">
        <f>F6/2506*3500</f>
        <v>3.38153726789807</v>
      </c>
      <c r="H6" s="1">
        <v>1</v>
      </c>
    </row>
    <row r="7" spans="1:8">
      <c r="A7" s="1" t="s">
        <v>13</v>
      </c>
      <c r="B7" s="1">
        <v>121.190537</v>
      </c>
      <c r="C7" s="1">
        <v>31.25599179</v>
      </c>
      <c r="D7">
        <v>2.33156603027792</v>
      </c>
      <c r="E7">
        <v>0.00159780746831107</v>
      </c>
      <c r="F7">
        <f>E7*34750*3500/116409</f>
        <v>1.66940127767899</v>
      </c>
      <c r="G7">
        <f>F7/2506*3500</f>
        <v>2.33156603027792</v>
      </c>
      <c r="H7" s="1">
        <v>1</v>
      </c>
    </row>
    <row r="8" spans="1:8">
      <c r="A8" s="1" t="s">
        <v>14</v>
      </c>
      <c r="B8" s="1">
        <v>121.190537</v>
      </c>
      <c r="C8" s="1">
        <v>31.2653378</v>
      </c>
      <c r="D8">
        <v>2.33156603027792</v>
      </c>
      <c r="E8">
        <v>0.00159780746831107</v>
      </c>
      <c r="F8">
        <f>E8*34750*3500/116409</f>
        <v>1.66940127767899</v>
      </c>
      <c r="G8">
        <f>F8/2506*3500</f>
        <v>2.33156603027792</v>
      </c>
      <c r="H8" s="1">
        <v>1</v>
      </c>
    </row>
    <row r="9" spans="1:8">
      <c r="A9" s="1" t="s">
        <v>15</v>
      </c>
      <c r="B9" s="1">
        <v>121.190537</v>
      </c>
      <c r="C9" s="1">
        <v>31.26845314</v>
      </c>
      <c r="D9">
        <v>2.45081656168774</v>
      </c>
      <c r="E9">
        <v>0.00167952910398954</v>
      </c>
      <c r="F9">
        <f>E9*34750*3500/116409</f>
        <v>1.75478465816842</v>
      </c>
      <c r="G9">
        <f>F9/2506*3500</f>
        <v>2.45081656168774</v>
      </c>
      <c r="H9" s="1">
        <v>1</v>
      </c>
    </row>
    <row r="10" spans="1:8">
      <c r="A10" s="1" t="s">
        <v>16</v>
      </c>
      <c r="B10" s="1">
        <v>121.190537</v>
      </c>
      <c r="C10" s="1">
        <v>31.27156848</v>
      </c>
      <c r="D10">
        <v>4.33289352719358</v>
      </c>
      <c r="E10">
        <v>0.00296930455635492</v>
      </c>
      <c r="F10">
        <f>E10*34750*3500/116409</f>
        <v>3.1023517654706</v>
      </c>
      <c r="G10">
        <f>F10/2506*3500</f>
        <v>4.33289352719358</v>
      </c>
      <c r="H10" s="1">
        <v>1</v>
      </c>
    </row>
    <row r="11" spans="1:8">
      <c r="A11" s="1" t="s">
        <v>17</v>
      </c>
      <c r="B11" s="1">
        <v>121.1915892</v>
      </c>
      <c r="C11" s="1">
        <v>31.26378013</v>
      </c>
      <c r="D11">
        <v>3.38153726789807</v>
      </c>
      <c r="E11">
        <v>0.00231734612310152</v>
      </c>
      <c r="F11">
        <f>E11*34750*3500/116409</f>
        <v>2.42118068381502</v>
      </c>
      <c r="G11">
        <f>F11/2506*3500</f>
        <v>3.38153726789807</v>
      </c>
      <c r="H11" s="1">
        <v>1</v>
      </c>
    </row>
    <row r="12" spans="1:8">
      <c r="A12" s="1" t="s">
        <v>18</v>
      </c>
      <c r="B12" s="1">
        <v>121.1926415</v>
      </c>
      <c r="C12" s="1">
        <v>31.25599179</v>
      </c>
      <c r="D12">
        <v>2.33156603027792</v>
      </c>
      <c r="E12">
        <v>0.00159780746831107</v>
      </c>
      <c r="F12">
        <f>E12*34750*3500/116409</f>
        <v>1.66940127767899</v>
      </c>
      <c r="G12">
        <f>F12/2506*3500</f>
        <v>2.33156603027792</v>
      </c>
      <c r="H12" s="1">
        <v>1</v>
      </c>
    </row>
    <row r="13" spans="1:8">
      <c r="A13" s="1" t="s">
        <v>19</v>
      </c>
      <c r="B13" s="1">
        <v>121.1926415</v>
      </c>
      <c r="C13" s="1">
        <v>31.26222246</v>
      </c>
      <c r="D13">
        <v>4.62113987647706</v>
      </c>
      <c r="E13">
        <v>0.00316683795820486</v>
      </c>
      <c r="F13">
        <f>E13*34750*3500/116409</f>
        <v>3.30873615155758</v>
      </c>
      <c r="G13">
        <f>F13/2506*3500</f>
        <v>4.62113987647706</v>
      </c>
      <c r="H13" s="1">
        <v>1</v>
      </c>
    </row>
    <row r="14" spans="1:8">
      <c r="A14" s="1" t="s">
        <v>20</v>
      </c>
      <c r="B14" s="1">
        <v>121.1926415</v>
      </c>
      <c r="C14" s="1">
        <v>31.2653378</v>
      </c>
      <c r="D14">
        <v>4.62113987647706</v>
      </c>
      <c r="E14">
        <v>0.00316683795820486</v>
      </c>
      <c r="F14">
        <f>E14*34750*3500/116409</f>
        <v>3.30873615155758</v>
      </c>
      <c r="G14">
        <f>F14/2506*3500</f>
        <v>4.62113987647706</v>
      </c>
      <c r="H14" s="1">
        <v>1</v>
      </c>
    </row>
    <row r="15" spans="1:8">
      <c r="A15" s="1" t="s">
        <v>21</v>
      </c>
      <c r="B15" s="1">
        <v>121.1926415</v>
      </c>
      <c r="C15" s="1">
        <v>31.26845314</v>
      </c>
      <c r="D15">
        <v>2.52821908281096</v>
      </c>
      <c r="E15">
        <v>0.00173257256263954</v>
      </c>
      <c r="F15">
        <f>E15*34750*3500/116409</f>
        <v>1.81020486329265</v>
      </c>
      <c r="G15">
        <f>F15/2506*3500</f>
        <v>2.52821908281096</v>
      </c>
      <c r="H15" s="1">
        <v>1</v>
      </c>
    </row>
    <row r="16" spans="1:8">
      <c r="A16" s="1" t="s">
        <v>22</v>
      </c>
      <c r="B16" s="1">
        <v>121.1926415</v>
      </c>
      <c r="C16" s="1">
        <v>31.27156848</v>
      </c>
      <c r="D16">
        <v>2.45081656168774</v>
      </c>
      <c r="E16">
        <v>0.00167952910398954</v>
      </c>
      <c r="F16">
        <f>E16*34750*3500/116409</f>
        <v>1.75478465816842</v>
      </c>
      <c r="G16">
        <f>F16/2506*3500</f>
        <v>2.45081656168774</v>
      </c>
      <c r="H16" s="1">
        <v>1</v>
      </c>
    </row>
    <row r="17" spans="1:8">
      <c r="A17" s="1" t="s">
        <v>23</v>
      </c>
      <c r="B17" s="1">
        <v>121.1936937</v>
      </c>
      <c r="C17" s="1">
        <v>31.26378013</v>
      </c>
      <c r="D17">
        <v>3.82979349730985</v>
      </c>
      <c r="E17">
        <v>0.00262453328476459</v>
      </c>
      <c r="F17">
        <f>E17*34750*3500/116409</f>
        <v>2.74213214407385</v>
      </c>
      <c r="G17">
        <f>F17/2506*3500</f>
        <v>3.82979349730985</v>
      </c>
      <c r="H17" s="1">
        <v>1</v>
      </c>
    </row>
    <row r="18" spans="1:8">
      <c r="A18" s="1" t="s">
        <v>24</v>
      </c>
      <c r="B18" s="1">
        <v>121.1936937</v>
      </c>
      <c r="C18" s="1">
        <v>31.26689547</v>
      </c>
      <c r="D18">
        <v>1.8487328221342</v>
      </c>
      <c r="E18">
        <v>0.00126692492160118</v>
      </c>
      <c r="F18">
        <f>E18*34750*3500/116409</f>
        <v>1.32369270064809</v>
      </c>
      <c r="G18">
        <f>F18/2506*3500</f>
        <v>1.8487328221342</v>
      </c>
      <c r="H18" s="1">
        <v>1</v>
      </c>
    </row>
    <row r="19" spans="1:8">
      <c r="A19" s="1" t="s">
        <v>25</v>
      </c>
      <c r="B19" s="1">
        <v>121.194746</v>
      </c>
      <c r="C19" s="1">
        <v>31.2653378</v>
      </c>
      <c r="D19">
        <v>4.62113987647706</v>
      </c>
      <c r="E19">
        <v>0.00316683795820486</v>
      </c>
      <c r="F19">
        <f>E19*34750*3500/116409</f>
        <v>3.30873615155758</v>
      </c>
      <c r="G19">
        <f>F19/2506*3500</f>
        <v>4.62113987647706</v>
      </c>
      <c r="H19" s="1">
        <v>1</v>
      </c>
    </row>
    <row r="20" spans="1:8">
      <c r="A20" s="1" t="s">
        <v>26</v>
      </c>
      <c r="B20" s="1">
        <v>121.1957982</v>
      </c>
      <c r="C20" s="1">
        <v>31.25443412</v>
      </c>
      <c r="D20">
        <v>2.45081656168774</v>
      </c>
      <c r="E20">
        <v>0.00167952910398954</v>
      </c>
      <c r="F20">
        <f>E20*34750*3500/116409</f>
        <v>1.75478465816842</v>
      </c>
      <c r="G20">
        <f>F20/2506*3500</f>
        <v>2.45081656168774</v>
      </c>
      <c r="H20" s="1">
        <v>1</v>
      </c>
    </row>
    <row r="21" spans="1:8">
      <c r="A21" s="1" t="s">
        <v>27</v>
      </c>
      <c r="B21" s="1">
        <v>121.1957982</v>
      </c>
      <c r="C21" s="1">
        <v>31.2606648</v>
      </c>
      <c r="D21">
        <v>4.33289352719358</v>
      </c>
      <c r="E21">
        <v>0.00296930455635492</v>
      </c>
      <c r="F21">
        <f>E21*34750*3500/116409</f>
        <v>3.1023517654706</v>
      </c>
      <c r="G21">
        <f>F21/2506*3500</f>
        <v>4.33289352719358</v>
      </c>
      <c r="H21" s="1">
        <v>1</v>
      </c>
    </row>
    <row r="22" spans="1:8">
      <c r="A22" s="1" t="s">
        <v>28</v>
      </c>
      <c r="B22" s="1">
        <v>121.1957982</v>
      </c>
      <c r="C22" s="1">
        <v>31.26378013</v>
      </c>
      <c r="D22">
        <v>4.33289352719358</v>
      </c>
      <c r="E22">
        <v>0.00296930455635492</v>
      </c>
      <c r="F22">
        <f>E22*34750*3500/116409</f>
        <v>3.1023517654706</v>
      </c>
      <c r="G22">
        <f>F22/2506*3500</f>
        <v>4.33289352719358</v>
      </c>
      <c r="H22" s="1">
        <v>1</v>
      </c>
    </row>
    <row r="23" spans="1:8">
      <c r="A23" s="1" t="s">
        <v>29</v>
      </c>
      <c r="B23" s="1">
        <v>121.1957982</v>
      </c>
      <c r="C23" s="1">
        <v>31.26689547</v>
      </c>
      <c r="D23">
        <v>4.33289352719358</v>
      </c>
      <c r="E23">
        <v>0.00296930455635492</v>
      </c>
      <c r="F23">
        <f>E23*34750*3500/116409</f>
        <v>3.1023517654706</v>
      </c>
      <c r="G23">
        <f>F23/2506*3500</f>
        <v>4.33289352719358</v>
      </c>
      <c r="H23" s="1">
        <v>1</v>
      </c>
    </row>
    <row r="24" spans="1:8">
      <c r="A24" s="1" t="s">
        <v>30</v>
      </c>
      <c r="B24" s="1">
        <v>121.1957982</v>
      </c>
      <c r="C24" s="1">
        <v>31.27001081</v>
      </c>
      <c r="D24">
        <v>4.33289352719358</v>
      </c>
      <c r="E24">
        <v>0.00296930455635492</v>
      </c>
      <c r="F24">
        <f>E24*34750*3500/116409</f>
        <v>3.1023517654706</v>
      </c>
      <c r="G24">
        <f>F24/2506*3500</f>
        <v>4.33289352719358</v>
      </c>
      <c r="H24" s="1">
        <v>1</v>
      </c>
    </row>
    <row r="25" spans="1:8">
      <c r="A25" s="1" t="s">
        <v>31</v>
      </c>
      <c r="B25" s="1">
        <v>121.1957982</v>
      </c>
      <c r="C25" s="1">
        <v>31.27624149</v>
      </c>
      <c r="D25">
        <v>3.82979349730985</v>
      </c>
      <c r="E25">
        <v>0.00262453328476459</v>
      </c>
      <c r="F25">
        <f>E25*34750*3500/116409</f>
        <v>2.74213214407385</v>
      </c>
      <c r="G25">
        <f>F25/2506*3500</f>
        <v>3.82979349730985</v>
      </c>
      <c r="H25" s="1">
        <v>1</v>
      </c>
    </row>
    <row r="26" spans="1:8">
      <c r="A26" s="1" t="s">
        <v>32</v>
      </c>
      <c r="B26" s="1">
        <v>121.1968505</v>
      </c>
      <c r="C26" s="1">
        <v>31.2653378</v>
      </c>
      <c r="D26">
        <v>4.41705286278476</v>
      </c>
      <c r="E26">
        <v>0.00302697841726619</v>
      </c>
      <c r="F26">
        <f>E26*34750*3500/116409</f>
        <v>3.16260984975389</v>
      </c>
      <c r="G26">
        <f>F26/2506*3500</f>
        <v>4.41705286278476</v>
      </c>
      <c r="H26" s="1">
        <v>1</v>
      </c>
    </row>
    <row r="27" spans="1:8">
      <c r="A27" s="1" t="s">
        <v>33</v>
      </c>
      <c r="B27" s="1">
        <v>121.1968505</v>
      </c>
      <c r="C27" s="1">
        <v>31.26845314</v>
      </c>
      <c r="D27">
        <v>23.4916275503474</v>
      </c>
      <c r="E27">
        <v>0.0160986639260021</v>
      </c>
      <c r="F27">
        <f>E27*34750*3500/116409</f>
        <v>16.8200053260487</v>
      </c>
      <c r="G27">
        <f>F27/2506*3500</f>
        <v>23.4916275503474</v>
      </c>
      <c r="H27" s="1">
        <v>1</v>
      </c>
    </row>
    <row r="28" spans="1:8">
      <c r="A28" s="1" t="s">
        <v>34</v>
      </c>
      <c r="B28" s="1">
        <v>121.1968505</v>
      </c>
      <c r="C28" s="1">
        <v>31.27156848</v>
      </c>
      <c r="D28">
        <v>4.62113987647706</v>
      </c>
      <c r="E28">
        <v>0.00316683795820486</v>
      </c>
      <c r="F28">
        <f>E28*34750*3500/116409</f>
        <v>3.30873615155758</v>
      </c>
      <c r="G28">
        <f>F28/2506*3500</f>
        <v>4.62113987647706</v>
      </c>
      <c r="H28" s="1">
        <v>1</v>
      </c>
    </row>
    <row r="29" spans="1:8">
      <c r="A29" s="1" t="s">
        <v>35</v>
      </c>
      <c r="B29" s="1">
        <v>121.1968505</v>
      </c>
      <c r="C29" s="1">
        <v>31.27468382</v>
      </c>
      <c r="D29">
        <v>4.62113987647706</v>
      </c>
      <c r="E29">
        <v>0.00316683795820486</v>
      </c>
      <c r="F29">
        <f>E29*34750*3500/116409</f>
        <v>3.30873615155758</v>
      </c>
      <c r="G29">
        <f>F29/2506*3500</f>
        <v>4.62113987647706</v>
      </c>
      <c r="H29" s="1">
        <v>1</v>
      </c>
    </row>
    <row r="30" spans="1:8">
      <c r="A30" s="1" t="s">
        <v>36</v>
      </c>
      <c r="B30" s="1">
        <v>121.1979027</v>
      </c>
      <c r="C30" s="1">
        <v>31.27312615</v>
      </c>
      <c r="D30">
        <v>2.45081656168774</v>
      </c>
      <c r="E30">
        <v>0.00167952910398954</v>
      </c>
      <c r="F30">
        <f>E30*34750*3500/116409</f>
        <v>1.75478465816842</v>
      </c>
      <c r="G30">
        <f>F30/2506*3500</f>
        <v>2.45081656168774</v>
      </c>
      <c r="H30" s="1">
        <v>1</v>
      </c>
    </row>
    <row r="31" spans="1:8">
      <c r="A31" s="1" t="s">
        <v>37</v>
      </c>
      <c r="B31" s="1">
        <v>121.198955</v>
      </c>
      <c r="C31" s="1">
        <v>31.25599179</v>
      </c>
      <c r="D31">
        <v>5.43529603152794</v>
      </c>
      <c r="E31">
        <v>0.0037247740269323</v>
      </c>
      <c r="F31">
        <f>E31*34750*3500/116409</f>
        <v>3.891671958574</v>
      </c>
      <c r="G31">
        <f>F31/2506*3500</f>
        <v>5.43529603152794</v>
      </c>
      <c r="H31" s="1">
        <v>1</v>
      </c>
    </row>
    <row r="32" spans="1:8">
      <c r="A32" s="1" t="s">
        <v>38</v>
      </c>
      <c r="B32" s="1">
        <v>121.198955</v>
      </c>
      <c r="C32" s="1">
        <v>31.2653378</v>
      </c>
      <c r="D32">
        <v>3.82979349730985</v>
      </c>
      <c r="E32">
        <v>0.00262453328476459</v>
      </c>
      <c r="F32">
        <f>E32*34750*3500/116409</f>
        <v>2.74213214407385</v>
      </c>
      <c r="G32">
        <f>F32/2506*3500</f>
        <v>3.82979349730985</v>
      </c>
      <c r="H32" s="1">
        <v>1</v>
      </c>
    </row>
    <row r="33" spans="1:8">
      <c r="A33" s="1" t="s">
        <v>39</v>
      </c>
      <c r="B33" s="1">
        <v>121.198955</v>
      </c>
      <c r="C33" s="1">
        <v>31.26845314</v>
      </c>
      <c r="D33">
        <v>1.8487328221342</v>
      </c>
      <c r="E33">
        <v>0.00126692492160118</v>
      </c>
      <c r="F33">
        <f>E33*34750*3500/116409</f>
        <v>1.32369270064809</v>
      </c>
      <c r="G33">
        <f>F33/2506*3500</f>
        <v>1.8487328221342</v>
      </c>
      <c r="H33" s="1">
        <v>1</v>
      </c>
    </row>
    <row r="34" spans="1:8">
      <c r="A34" s="1" t="s">
        <v>40</v>
      </c>
      <c r="B34" s="1">
        <v>121.2000072</v>
      </c>
      <c r="C34" s="1">
        <v>31.25754946</v>
      </c>
      <c r="D34">
        <v>4.41705286278476</v>
      </c>
      <c r="E34">
        <v>0.00302697841726619</v>
      </c>
      <c r="F34">
        <f>E34*34750*3500/116409</f>
        <v>3.16260984975389</v>
      </c>
      <c r="G34">
        <f>F34/2506*3500</f>
        <v>4.41705286278476</v>
      </c>
      <c r="H34" s="1">
        <v>1</v>
      </c>
    </row>
    <row r="35" spans="1:8">
      <c r="A35" s="1" t="s">
        <v>41</v>
      </c>
      <c r="B35" s="1">
        <v>121.2010595</v>
      </c>
      <c r="C35" s="1">
        <v>31.25599179</v>
      </c>
      <c r="D35">
        <v>4.62113987647706</v>
      </c>
      <c r="E35">
        <v>0.00316683795820486</v>
      </c>
      <c r="F35">
        <f>E35*34750*3500/116409</f>
        <v>3.30873615155758</v>
      </c>
      <c r="G35">
        <f>F35/2506*3500</f>
        <v>4.62113987647706</v>
      </c>
      <c r="H35" s="1">
        <v>1</v>
      </c>
    </row>
    <row r="36" spans="1:8">
      <c r="A36" s="1" t="s">
        <v>42</v>
      </c>
      <c r="B36" s="1">
        <v>121.2010595</v>
      </c>
      <c r="C36" s="1">
        <v>31.25910713</v>
      </c>
      <c r="D36">
        <v>4.62113987647706</v>
      </c>
      <c r="E36">
        <v>0.00316683795820486</v>
      </c>
      <c r="F36">
        <f>E36*34750*3500/116409</f>
        <v>3.30873615155758</v>
      </c>
      <c r="G36">
        <f>F36/2506*3500</f>
        <v>4.62113987647706</v>
      </c>
      <c r="H36" s="1">
        <v>1</v>
      </c>
    </row>
    <row r="37" spans="1:8">
      <c r="A37" s="1" t="s">
        <v>43</v>
      </c>
      <c r="B37" s="1">
        <v>121.2010595</v>
      </c>
      <c r="C37" s="1">
        <v>31.26222246</v>
      </c>
      <c r="D37">
        <v>4.62113987647706</v>
      </c>
      <c r="E37">
        <v>0.00316683795820486</v>
      </c>
      <c r="F37">
        <f>E37*34750*3500/116409</f>
        <v>3.30873615155758</v>
      </c>
      <c r="G37">
        <f>F37/2506*3500</f>
        <v>4.62113987647706</v>
      </c>
      <c r="H37" s="1">
        <v>1</v>
      </c>
    </row>
    <row r="38" spans="1:8">
      <c r="A38" s="1" t="s">
        <v>44</v>
      </c>
      <c r="B38" s="1">
        <v>121.2021117</v>
      </c>
      <c r="C38" s="1">
        <v>31.25443412</v>
      </c>
      <c r="D38">
        <v>2.45081656168774</v>
      </c>
      <c r="E38">
        <v>0.00167952910398954</v>
      </c>
      <c r="F38">
        <f>E38*34750*3500/116409</f>
        <v>1.75478465816842</v>
      </c>
      <c r="G38">
        <f>F38/2506*3500</f>
        <v>2.45081656168774</v>
      </c>
      <c r="H38" s="1">
        <v>1</v>
      </c>
    </row>
    <row r="39" spans="1:8">
      <c r="A39" s="1" t="s">
        <v>45</v>
      </c>
      <c r="B39" s="1">
        <v>121.2021117</v>
      </c>
      <c r="C39" s="1">
        <v>31.2606648</v>
      </c>
      <c r="D39">
        <v>2.45081656168774</v>
      </c>
      <c r="E39">
        <v>0.00167952910398954</v>
      </c>
      <c r="F39">
        <f>E39*34750*3500/116409</f>
        <v>1.75478465816842</v>
      </c>
      <c r="G39">
        <f>F39/2506*3500</f>
        <v>2.45081656168774</v>
      </c>
      <c r="H39" s="1">
        <v>1</v>
      </c>
    </row>
    <row r="40" spans="1:8">
      <c r="A40" s="1" t="s">
        <v>46</v>
      </c>
      <c r="B40" s="1">
        <v>121.2021117</v>
      </c>
      <c r="C40" s="1">
        <v>31.26378013</v>
      </c>
      <c r="D40">
        <v>4.33289352719358</v>
      </c>
      <c r="E40">
        <v>0.00296930455635492</v>
      </c>
      <c r="F40">
        <f>E40*34750*3500/116409</f>
        <v>3.1023517654706</v>
      </c>
      <c r="G40">
        <f>F40/2506*3500</f>
        <v>4.33289352719358</v>
      </c>
      <c r="H40" s="1">
        <v>1</v>
      </c>
    </row>
    <row r="41" spans="1:8">
      <c r="A41" s="1" t="s">
        <v>47</v>
      </c>
      <c r="B41" s="1">
        <v>121.2021117</v>
      </c>
      <c r="C41" s="1">
        <v>31.26689547</v>
      </c>
      <c r="D41">
        <v>4.33289352719358</v>
      </c>
      <c r="E41">
        <v>0.00296930455635492</v>
      </c>
      <c r="F41">
        <f>E41*34750*3500/116409</f>
        <v>3.1023517654706</v>
      </c>
      <c r="G41">
        <f>F41/2506*3500</f>
        <v>4.33289352719358</v>
      </c>
      <c r="H41" s="1">
        <v>1</v>
      </c>
    </row>
    <row r="42" spans="1:8">
      <c r="A42" s="1" t="s">
        <v>48</v>
      </c>
      <c r="B42" s="1">
        <v>121.203164</v>
      </c>
      <c r="C42" s="1">
        <v>31.25910713</v>
      </c>
      <c r="D42">
        <v>5.43529603152794</v>
      </c>
      <c r="E42">
        <v>0.0037247740269323</v>
      </c>
      <c r="F42">
        <f>E42*34750*3500/116409</f>
        <v>3.891671958574</v>
      </c>
      <c r="G42">
        <f>F42/2506*3500</f>
        <v>5.43529603152794</v>
      </c>
      <c r="H42" s="1">
        <v>1</v>
      </c>
    </row>
    <row r="43" spans="1:8">
      <c r="A43" s="1" t="s">
        <v>49</v>
      </c>
      <c r="B43" s="1">
        <v>121.2042162</v>
      </c>
      <c r="C43" s="1">
        <v>31.25443412</v>
      </c>
      <c r="D43">
        <v>1.8487328221342</v>
      </c>
      <c r="E43">
        <v>0.00126692492160118</v>
      </c>
      <c r="F43">
        <f>E43*34750*3500/116409</f>
        <v>1.32369270064809</v>
      </c>
      <c r="G43">
        <f>F43/2506*3500</f>
        <v>1.8487328221342</v>
      </c>
      <c r="H43" s="1">
        <v>1</v>
      </c>
    </row>
    <row r="44" spans="1:8">
      <c r="A44" s="1" t="s">
        <v>50</v>
      </c>
      <c r="B44" s="1">
        <v>121.2042162</v>
      </c>
      <c r="C44" s="1">
        <v>31.2606648</v>
      </c>
      <c r="D44">
        <v>1.8487328221342</v>
      </c>
      <c r="E44">
        <v>0.00126692492160118</v>
      </c>
      <c r="F44">
        <f>E44*34750*3500/116409</f>
        <v>1.32369270064809</v>
      </c>
      <c r="G44">
        <f>F44/2506*3500</f>
        <v>1.8487328221342</v>
      </c>
      <c r="H44" s="1">
        <v>1</v>
      </c>
    </row>
    <row r="45" spans="1:8">
      <c r="A45" s="1" t="s">
        <v>51</v>
      </c>
      <c r="B45" s="1">
        <v>121.2042162</v>
      </c>
      <c r="C45" s="1">
        <v>31.26378013</v>
      </c>
      <c r="D45">
        <v>25.6618902703544</v>
      </c>
      <c r="E45">
        <v>0.017585931254996</v>
      </c>
      <c r="F45">
        <f>E45*34750*3500/116409</f>
        <v>18.3739134335738</v>
      </c>
      <c r="G45">
        <f>F45/2506*3500</f>
        <v>25.6618902703544</v>
      </c>
      <c r="H45" s="1">
        <v>1</v>
      </c>
    </row>
    <row r="46" spans="1:8">
      <c r="A46" s="1" t="s">
        <v>52</v>
      </c>
      <c r="B46" s="1">
        <v>121.2042162</v>
      </c>
      <c r="C46" s="1">
        <v>31.27001081</v>
      </c>
      <c r="D46">
        <v>25.6618902703544</v>
      </c>
      <c r="E46">
        <v>0.017585931254996</v>
      </c>
      <c r="F46">
        <f>E46*34750*3500/116409</f>
        <v>18.3739134335738</v>
      </c>
      <c r="G46">
        <f>F46/2506*3500</f>
        <v>25.6618902703544</v>
      </c>
      <c r="H46" s="1">
        <v>1</v>
      </c>
    </row>
    <row r="47" spans="1:8">
      <c r="A47" s="1" t="s">
        <v>53</v>
      </c>
      <c r="B47" s="1">
        <v>121.2052685</v>
      </c>
      <c r="C47" s="1">
        <v>31.26222246</v>
      </c>
      <c r="D47">
        <v>2.52821908281096</v>
      </c>
      <c r="E47">
        <v>0.00173257256263954</v>
      </c>
      <c r="F47">
        <f>E47*34750*3500/116409</f>
        <v>1.81020486329265</v>
      </c>
      <c r="G47">
        <f>F47/2506*3500</f>
        <v>2.52821908281096</v>
      </c>
      <c r="H47" s="1">
        <v>1</v>
      </c>
    </row>
    <row r="48" spans="1:8">
      <c r="A48" s="1" t="s">
        <v>54</v>
      </c>
      <c r="B48" s="1">
        <v>121.2052685</v>
      </c>
      <c r="C48" s="1">
        <v>31.2653378</v>
      </c>
      <c r="D48">
        <v>2.52821908281096</v>
      </c>
      <c r="E48">
        <v>0.00173257256263954</v>
      </c>
      <c r="F48">
        <f>E48*34750*3500/116409</f>
        <v>1.81020486329265</v>
      </c>
      <c r="G48">
        <f>F48/2506*3500</f>
        <v>2.52821908281096</v>
      </c>
      <c r="H48" s="1">
        <v>1</v>
      </c>
    </row>
    <row r="49" spans="1:8">
      <c r="A49" s="1" t="s">
        <v>55</v>
      </c>
      <c r="B49" s="1">
        <v>121.2052685</v>
      </c>
      <c r="C49" s="1">
        <v>31.26845314</v>
      </c>
      <c r="D49">
        <v>2.52821908281096</v>
      </c>
      <c r="E49">
        <v>0.00173257256263954</v>
      </c>
      <c r="F49">
        <f>E49*34750*3500/116409</f>
        <v>1.81020486329265</v>
      </c>
      <c r="G49">
        <f>F49/2506*3500</f>
        <v>2.52821908281096</v>
      </c>
      <c r="H49" s="1">
        <v>1</v>
      </c>
    </row>
    <row r="50" spans="1:8">
      <c r="A50" s="1" t="s">
        <v>56</v>
      </c>
      <c r="B50" s="1">
        <v>121.2052685</v>
      </c>
      <c r="C50" s="1">
        <v>31.27468382</v>
      </c>
      <c r="D50">
        <v>2.45081656168774</v>
      </c>
      <c r="E50">
        <v>0.00167952910398954</v>
      </c>
      <c r="F50">
        <f>E50*34750*3500/116409</f>
        <v>1.75478465816842</v>
      </c>
      <c r="G50">
        <f>F50/2506*3500</f>
        <v>2.45081656168774</v>
      </c>
      <c r="H50" s="1">
        <v>1</v>
      </c>
    </row>
    <row r="51" spans="1:8">
      <c r="A51" s="1" t="s">
        <v>57</v>
      </c>
      <c r="B51" s="1">
        <v>121.2063207</v>
      </c>
      <c r="C51" s="1">
        <v>31.26378013</v>
      </c>
      <c r="D51">
        <v>4.33289352719358</v>
      </c>
      <c r="E51">
        <v>0.00296930455635492</v>
      </c>
      <c r="F51">
        <f>E51*34750*3500/116409</f>
        <v>3.1023517654706</v>
      </c>
      <c r="G51">
        <f>F51/2506*3500</f>
        <v>4.33289352719358</v>
      </c>
      <c r="H51" s="1">
        <v>1</v>
      </c>
    </row>
    <row r="52" spans="1:8">
      <c r="A52" s="1" t="s">
        <v>58</v>
      </c>
      <c r="B52" s="1">
        <v>121.207373</v>
      </c>
      <c r="C52" s="1">
        <v>31.25910713</v>
      </c>
      <c r="D52">
        <v>1.8487328221342</v>
      </c>
      <c r="E52">
        <v>0.00126692492160118</v>
      </c>
      <c r="F52">
        <f>E52*34750*3500/116409</f>
        <v>1.32369270064809</v>
      </c>
      <c r="G52">
        <f>F52/2506*3500</f>
        <v>1.8487328221342</v>
      </c>
      <c r="H52" s="1">
        <v>1</v>
      </c>
    </row>
    <row r="53" spans="1:8">
      <c r="A53" s="1" t="s">
        <v>59</v>
      </c>
      <c r="B53" s="1">
        <v>121.207373</v>
      </c>
      <c r="C53" s="1">
        <v>31.26845314</v>
      </c>
      <c r="D53">
        <v>1.8487328221342</v>
      </c>
      <c r="E53">
        <v>0.00126692492160118</v>
      </c>
      <c r="F53">
        <f>E53*34750*3500/116409</f>
        <v>1.32369270064809</v>
      </c>
      <c r="G53">
        <f>F53/2506*3500</f>
        <v>1.8487328221342</v>
      </c>
      <c r="H53" s="1">
        <v>1</v>
      </c>
    </row>
    <row r="54" spans="1:8">
      <c r="A54" s="1" t="s">
        <v>60</v>
      </c>
      <c r="B54" s="1">
        <v>121.2084252</v>
      </c>
      <c r="C54" s="1">
        <v>31.2606648</v>
      </c>
      <c r="D54">
        <v>23.4916275503474</v>
      </c>
      <c r="E54">
        <v>0.0160986639260021</v>
      </c>
      <c r="F54">
        <f>E54*34750*3500/116409</f>
        <v>16.8200053260487</v>
      </c>
      <c r="G54">
        <f>F54/2506*3500</f>
        <v>23.4916275503474</v>
      </c>
      <c r="H54" s="1">
        <v>1</v>
      </c>
    </row>
    <row r="55" spans="1:8">
      <c r="A55" s="1" t="s">
        <v>61</v>
      </c>
      <c r="B55" s="1">
        <v>121.2084252</v>
      </c>
      <c r="C55" s="1">
        <v>31.26378013</v>
      </c>
      <c r="D55">
        <v>18.2582016374456</v>
      </c>
      <c r="E55">
        <v>0.0125122302158273</v>
      </c>
      <c r="F55">
        <f>E55*34750*3500/116409</f>
        <v>13.072872372411</v>
      </c>
      <c r="G55">
        <f>F55/2506*3500</f>
        <v>18.2582016374456</v>
      </c>
      <c r="H55" s="1">
        <v>1</v>
      </c>
    </row>
    <row r="56" spans="1:8">
      <c r="A56" s="1" t="s">
        <v>62</v>
      </c>
      <c r="B56" s="1">
        <v>121.2084252</v>
      </c>
      <c r="C56" s="1">
        <v>31.27312615</v>
      </c>
      <c r="D56">
        <v>2.52821908281096</v>
      </c>
      <c r="E56">
        <v>0.00173257256263954</v>
      </c>
      <c r="F56">
        <f>E56*34750*3500/116409</f>
        <v>1.81020486329265</v>
      </c>
      <c r="G56">
        <f>F56/2506*3500</f>
        <v>2.52821908281096</v>
      </c>
      <c r="H56" s="1">
        <v>1</v>
      </c>
    </row>
    <row r="57" spans="1:8">
      <c r="A57" s="1" t="s">
        <v>63</v>
      </c>
      <c r="B57" s="1">
        <v>121.2094775</v>
      </c>
      <c r="C57" s="1">
        <v>31.25910713</v>
      </c>
      <c r="D57">
        <v>4.33289352719358</v>
      </c>
      <c r="E57">
        <v>0.00296930455635492</v>
      </c>
      <c r="F57">
        <f>E57*34750*3500/116409</f>
        <v>3.1023517654706</v>
      </c>
      <c r="G57">
        <f>F57/2506*3500</f>
        <v>4.33289352719358</v>
      </c>
      <c r="H57" s="1">
        <v>1</v>
      </c>
    </row>
    <row r="58" spans="1:8">
      <c r="A58" s="1" t="s">
        <v>64</v>
      </c>
      <c r="B58" s="1">
        <v>121.2094775</v>
      </c>
      <c r="C58" s="1">
        <v>31.26222246</v>
      </c>
      <c r="D58">
        <v>4.33289352719358</v>
      </c>
      <c r="E58">
        <v>0.00296930455635492</v>
      </c>
      <c r="F58">
        <f>E58*34750*3500/116409</f>
        <v>3.1023517654706</v>
      </c>
      <c r="G58">
        <f>F58/2506*3500</f>
        <v>4.33289352719358</v>
      </c>
      <c r="H58" s="1">
        <v>1</v>
      </c>
    </row>
    <row r="59" spans="1:8">
      <c r="A59" s="1" t="s">
        <v>65</v>
      </c>
      <c r="B59" s="1">
        <v>121.2094775</v>
      </c>
      <c r="C59" s="1">
        <v>31.26845314</v>
      </c>
      <c r="D59">
        <v>4.33289352719358</v>
      </c>
      <c r="E59">
        <v>0.00296930455635492</v>
      </c>
      <c r="F59">
        <f>E59*34750*3500/116409</f>
        <v>3.1023517654706</v>
      </c>
      <c r="G59">
        <f>F59/2506*3500</f>
        <v>4.33289352719358</v>
      </c>
      <c r="H59" s="1">
        <v>1</v>
      </c>
    </row>
    <row r="60" spans="1:8">
      <c r="A60" s="1" t="s">
        <v>66</v>
      </c>
      <c r="B60" s="1">
        <v>121.2094775</v>
      </c>
      <c r="C60" s="1">
        <v>31.27156848</v>
      </c>
      <c r="D60">
        <v>4.33289352719358</v>
      </c>
      <c r="E60">
        <v>0.00296930455635492</v>
      </c>
      <c r="F60">
        <f>E60*34750*3500/116409</f>
        <v>3.1023517654706</v>
      </c>
      <c r="G60">
        <f>F60/2506*3500</f>
        <v>4.33289352719358</v>
      </c>
      <c r="H60" s="1">
        <v>1</v>
      </c>
    </row>
    <row r="61" spans="1:8">
      <c r="A61" s="1" t="s">
        <v>67</v>
      </c>
      <c r="B61" s="1">
        <v>121.2094775</v>
      </c>
      <c r="C61" s="1">
        <v>31.27468382</v>
      </c>
      <c r="D61">
        <v>5.43529603152794</v>
      </c>
      <c r="E61">
        <v>0.0037247740269323</v>
      </c>
      <c r="F61">
        <f>E61*34750*3500/116409</f>
        <v>3.891671958574</v>
      </c>
      <c r="G61">
        <f>F61/2506*3500</f>
        <v>5.43529603152794</v>
      </c>
      <c r="H61" s="1">
        <v>1</v>
      </c>
    </row>
    <row r="62" spans="1:8">
      <c r="A62" s="1" t="s">
        <v>68</v>
      </c>
      <c r="B62" s="1">
        <v>121.2105297</v>
      </c>
      <c r="C62" s="1">
        <v>31.2606648</v>
      </c>
      <c r="D62">
        <v>3.82979349730985</v>
      </c>
      <c r="E62">
        <v>0.00262453328476459</v>
      </c>
      <c r="F62">
        <f>E62*34750*3500/116409</f>
        <v>2.74213214407385</v>
      </c>
      <c r="G62">
        <f>F62/2506*3500</f>
        <v>3.82979349730985</v>
      </c>
      <c r="H62" s="1">
        <v>1</v>
      </c>
    </row>
    <row r="63" spans="1:8">
      <c r="A63" s="1" t="s">
        <v>69</v>
      </c>
      <c r="B63" s="1">
        <v>121.2105297</v>
      </c>
      <c r="C63" s="1">
        <v>31.26378013</v>
      </c>
      <c r="D63">
        <v>3.82979349730985</v>
      </c>
      <c r="E63">
        <v>0.00262453328476459</v>
      </c>
      <c r="F63">
        <f>E63*34750*3500/116409</f>
        <v>2.74213214407385</v>
      </c>
      <c r="G63">
        <f>F63/2506*3500</f>
        <v>3.82979349730985</v>
      </c>
      <c r="H63" s="1">
        <v>1</v>
      </c>
    </row>
    <row r="64" spans="1:8">
      <c r="A64" s="1" t="s">
        <v>70</v>
      </c>
      <c r="B64" s="1">
        <v>121.211582</v>
      </c>
      <c r="C64" s="1">
        <v>31.26222246</v>
      </c>
      <c r="D64">
        <v>18.2582016374456</v>
      </c>
      <c r="E64">
        <v>0.0125122302158273</v>
      </c>
      <c r="F64">
        <f>E64*34750*3500/116409</f>
        <v>13.072872372411</v>
      </c>
      <c r="G64">
        <f>F64/2506*3500</f>
        <v>18.2582016374456</v>
      </c>
      <c r="H64" s="1">
        <v>1</v>
      </c>
    </row>
    <row r="65" spans="1:8">
      <c r="A65" s="1" t="s">
        <v>71</v>
      </c>
      <c r="B65" s="1">
        <v>121.211582</v>
      </c>
      <c r="C65" s="1">
        <v>31.2653378</v>
      </c>
      <c r="D65">
        <v>18.2582016374456</v>
      </c>
      <c r="E65">
        <v>0.0125122302158273</v>
      </c>
      <c r="F65">
        <f>E65*34750*3500/116409</f>
        <v>13.072872372411</v>
      </c>
      <c r="G65">
        <f>F65/2506*3500</f>
        <v>18.2582016374456</v>
      </c>
      <c r="H65" s="1">
        <v>1</v>
      </c>
    </row>
    <row r="66" spans="1:8">
      <c r="A66" s="1" t="s">
        <v>72</v>
      </c>
      <c r="B66" s="1">
        <v>121.2126342</v>
      </c>
      <c r="C66" s="1">
        <v>31.2606648</v>
      </c>
      <c r="D66">
        <v>2.45081656168774</v>
      </c>
      <c r="E66">
        <v>0.00167952910398954</v>
      </c>
      <c r="F66">
        <f>E66*34750*3500/116409</f>
        <v>1.75478465816842</v>
      </c>
      <c r="G66">
        <f>F66/2506*3500</f>
        <v>2.45081656168774</v>
      </c>
      <c r="H66" s="1">
        <v>1</v>
      </c>
    </row>
    <row r="67" spans="1:8">
      <c r="A67" s="1" t="s">
        <v>73</v>
      </c>
      <c r="B67" s="1">
        <v>121.2126342</v>
      </c>
      <c r="C67" s="1">
        <v>31.26378013</v>
      </c>
      <c r="D67">
        <v>2.45081656168774</v>
      </c>
      <c r="E67">
        <v>0.00167952910398954</v>
      </c>
      <c r="F67">
        <f>E67*34750*3500/116409</f>
        <v>1.75478465816842</v>
      </c>
      <c r="G67">
        <f>F67/2506*3500</f>
        <v>2.45081656168774</v>
      </c>
      <c r="H67" s="1">
        <v>1</v>
      </c>
    </row>
    <row r="68" spans="1:8">
      <c r="A68" s="1" t="s">
        <v>74</v>
      </c>
      <c r="B68" s="1">
        <v>121.2147387</v>
      </c>
      <c r="C68" s="1">
        <v>31.25754946</v>
      </c>
      <c r="D68">
        <v>3.82979349730985</v>
      </c>
      <c r="E68">
        <v>0.00262453328476459</v>
      </c>
      <c r="F68">
        <f>E68*34750*3500/116409</f>
        <v>2.74213214407385</v>
      </c>
      <c r="G68">
        <f>F68/2506*3500</f>
        <v>3.82979349730985</v>
      </c>
      <c r="H68" s="1">
        <v>1</v>
      </c>
    </row>
    <row r="69" spans="1:8">
      <c r="A69" s="1" t="s">
        <v>75</v>
      </c>
      <c r="B69" s="1">
        <v>121.2147387</v>
      </c>
      <c r="C69" s="1">
        <v>31.2606648</v>
      </c>
      <c r="D69">
        <v>43.9154261095691</v>
      </c>
      <c r="E69">
        <v>0.030094964028777</v>
      </c>
      <c r="F69">
        <f>E69*34750*3500/116409</f>
        <v>31.4434450944515</v>
      </c>
      <c r="G69">
        <f>F69/2506*3500</f>
        <v>43.9154261095691</v>
      </c>
      <c r="H69" s="1">
        <v>1</v>
      </c>
    </row>
    <row r="70" spans="1:8">
      <c r="A70" s="1" t="s">
        <v>76</v>
      </c>
      <c r="B70" s="1">
        <v>121.215791</v>
      </c>
      <c r="C70" s="1">
        <v>31.25910713</v>
      </c>
      <c r="D70">
        <v>43.4161008661598</v>
      </c>
      <c r="E70">
        <v>0.0297527795945062</v>
      </c>
      <c r="F70">
        <f>E70*34750*3500/116409</f>
        <v>31.0859282201704</v>
      </c>
      <c r="G70">
        <f>F70/2506*3500</f>
        <v>43.4161008661598</v>
      </c>
      <c r="H70" s="1">
        <v>1</v>
      </c>
    </row>
    <row r="71" spans="1:8">
      <c r="A71" s="1" t="s">
        <v>77</v>
      </c>
      <c r="B71" s="1">
        <v>121.22</v>
      </c>
      <c r="C71" s="1">
        <v>31.26222246</v>
      </c>
      <c r="D71">
        <v>2.45081656168774</v>
      </c>
      <c r="E71">
        <v>0.00167952910398954</v>
      </c>
      <c r="F71">
        <f>E71*34750*3500/116409</f>
        <v>1.75478465816842</v>
      </c>
      <c r="G71">
        <f>F71/2506*3500</f>
        <v>2.45081656168774</v>
      </c>
      <c r="H71" s="1">
        <v>1</v>
      </c>
    </row>
  </sheetData>
  <sortState ref="B2:C579">
    <sortCondition ref="B2:B579"/>
    <sortCondition ref="C2:C57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</cp:lastModifiedBy>
  <dcterms:created xsi:type="dcterms:W3CDTF">2025-11-03T05:11:00Z</dcterms:created>
  <dcterms:modified xsi:type="dcterms:W3CDTF">2026-03-04T04:43:23Z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CA889A1AF4BF4FE1A1D2059F78428F8E_13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